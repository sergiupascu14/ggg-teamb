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6" activeTab="3" autoFilterDateGrouping="1"/>
  </bookViews>
  <sheets>
    <sheet name="Summary" sheetId="1" state="visible" r:id="rId1"/>
    <sheet name="Tower_3" sheetId="2" state="visible" r:id="rId2"/>
    <sheet name="Tower_4" sheetId="3" state="visible" r:id="rId3"/>
    <sheet name="Tower_5" sheetId="4" state="visible" r:id="rId4"/>
    <sheet name="Tower_6" sheetId="5" state="visible" r:id="rId5"/>
    <sheet name="Riviera_3" sheetId="6" state="visible" r:id="rId6"/>
    <sheet name="Riviera_4" sheetId="7" state="visible" r:id="rId7"/>
    <sheet name="Riviera_5" sheetId="8" state="visible" r:id="rId8"/>
    <sheet name="All_Desks" sheetId="9" state="hidden" r:id="rId9"/>
    <sheet name="All_Desks_Pivot" sheetId="10" state="hidden" r:id="rId10"/>
    <sheet name="Team Allocation" sheetId="11" state="hidden" r:id="rId11"/>
    <sheet name="All Associates" sheetId="12" state="visible" r:id="rId12"/>
  </sheets>
  <definedNames>
    <definedName name="_xlnm._FilterDatabase" localSheetId="0" hidden="1">'Summary'!$B$2:$P$2</definedName>
    <definedName name="_xlnm._FilterDatabase" localSheetId="1" hidden="1">'Tower_3'!$A$1:$J$85</definedName>
    <definedName name="_xlnm._FilterDatabase" localSheetId="2" hidden="1">'Tower_4'!$A$1:$J$103</definedName>
    <definedName name="_xlnm._FilterDatabase" localSheetId="3" hidden="1">'Tower_5'!$A$1:$J$107</definedName>
    <definedName name="_xlnm._FilterDatabase" localSheetId="4" hidden="1">'Tower_6'!$A$1:$J$106</definedName>
    <definedName name="_xlnm._FilterDatabase" localSheetId="5" hidden="1">'Riviera_3'!$A$1:$J$130</definedName>
    <definedName name="_xlnm._FilterDatabase" localSheetId="6" hidden="1">'Riviera_4'!$A$1:$J$129</definedName>
    <definedName name="_xlnm._FilterDatabase" localSheetId="7" hidden="1">'Riviera_5'!$A$1:$J$127</definedName>
    <definedName name="_xlnm._FilterDatabase" localSheetId="8" hidden="1">'All_Desks'!$A$1:$G$708</definedName>
    <definedName name="_xlnm._FilterDatabase" localSheetId="11" hidden="1">'All Associates'!$A$1:$J$649</definedName>
  </definedNames>
  <calcPr calcId="191028" fullCalcOnLoad="1"/>
  <pivotCaches>
    <pivotCache cacheId="50" r:id="rId13"/>
  </pivotCaches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rgb="FF3F3F76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Tahoma"/>
      <family val="2"/>
      <color indexed="81"/>
      <sz val="9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13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0"/>
      <sz val="11"/>
      <u val="single"/>
      <scheme val="minor"/>
    </font>
    <font>
      <name val="Aptos Narrow"/>
      <family val="2"/>
      <color rgb="FFFF0000"/>
      <sz val="10"/>
      <scheme val="minor"/>
    </font>
    <font>
      <name val="Aptos Narrow"/>
      <color rgb="FF000000"/>
      <sz val="11"/>
    </font>
    <font>
      <name val="Aptos Narrow"/>
      <family val="2"/>
      <color rgb="FF000000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  <scheme val="minor"/>
    </font>
  </fonts>
  <fills count="21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3" fillId="0" borderId="0"/>
    <xf numFmtId="0" fontId="2" fillId="2" borderId="1"/>
    <xf numFmtId="0" fontId="3" fillId="0" borderId="0"/>
    <xf numFmtId="165" fontId="3" fillId="0" borderId="0"/>
    <xf numFmtId="0" fontId="12" fillId="0" borderId="0"/>
    <xf numFmtId="0" fontId="3" fillId="18" borderId="13"/>
  </cellStyleXfs>
  <cellXfs count="13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2"/>
    <xf numFmtId="0" fontId="3" fillId="0" borderId="0" applyAlignment="1" pivotButton="0" quotePrefix="0" xfId="2">
      <alignment horizontal="center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1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1" xfId="0">
      <alignment horizontal="center"/>
    </xf>
    <xf numFmtId="0" fontId="4" fillId="2" borderId="2" applyAlignment="1" pivotButton="0" quotePrefix="0" xfId="1">
      <alignment horizontal="center" vertical="center" wrapText="1"/>
    </xf>
    <xf numFmtId="0" fontId="0" fillId="0" borderId="2" pivotButton="0" quotePrefix="0" xfId="0"/>
    <xf numFmtId="49" fontId="0" fillId="0" borderId="2" applyAlignment="1" pivotButton="0" quotePrefix="1" xfId="0">
      <alignment horizontal="center"/>
    </xf>
    <xf numFmtId="49" fontId="0" fillId="3" borderId="2" applyAlignment="1" pivotButton="0" quotePrefix="1" xfId="0">
      <alignment horizontal="center"/>
    </xf>
    <xf numFmtId="0" fontId="0" fillId="4" borderId="2" applyAlignment="1" pivotButton="0" quotePrefix="0" xfId="0">
      <alignment horizontal="center"/>
    </xf>
    <xf numFmtId="49" fontId="0" fillId="4" borderId="2" applyAlignment="1" pivotButton="0" quotePrefix="1" xfId="0">
      <alignment horizontal="center"/>
    </xf>
    <xf numFmtId="0" fontId="0" fillId="4" borderId="2" applyAlignment="1" pivotButton="0" quotePrefix="1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right"/>
    </xf>
    <xf numFmtId="0" fontId="0" fillId="5" borderId="2" applyAlignment="1" pivotButton="0" quotePrefix="0" xfId="0">
      <alignment horizontal="center"/>
    </xf>
    <xf numFmtId="0" fontId="0" fillId="5" borderId="2" applyAlignment="1" pivotButton="0" quotePrefix="1" xfId="0">
      <alignment horizontal="center"/>
    </xf>
    <xf numFmtId="49" fontId="0" fillId="5" borderId="2" applyAlignment="1" pivotButton="0" quotePrefix="1" xfId="0">
      <alignment horizontal="center"/>
    </xf>
    <xf numFmtId="0" fontId="6" fillId="6" borderId="3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0" fillId="0" borderId="5" pivotButton="0" quotePrefix="0" xfId="0"/>
    <xf numFmtId="164" fontId="3" fillId="0" borderId="5" pivotButton="0" quotePrefix="0" xfId="3"/>
    <xf numFmtId="164" fontId="8" fillId="0" borderId="5" pivotButton="0" quotePrefix="0" xfId="3"/>
    <xf numFmtId="164" fontId="8" fillId="5" borderId="5" pivotButton="0" quotePrefix="0" xfId="3"/>
    <xf numFmtId="164" fontId="8" fillId="3" borderId="5" pivotButton="0" quotePrefix="0" xfId="3"/>
    <xf numFmtId="164" fontId="3" fillId="3" borderId="5" pivotButton="0" quotePrefix="0" xfId="3"/>
    <xf numFmtId="164" fontId="3" fillId="5" borderId="5" pivotButton="0" quotePrefix="0" xfId="3"/>
    <xf numFmtId="164" fontId="5" fillId="7" borderId="6" applyAlignment="1" pivotButton="0" quotePrefix="0" xfId="3">
      <alignment horizontal="center" vertical="center"/>
    </xf>
    <xf numFmtId="164" fontId="5" fillId="8" borderId="6" applyAlignment="1" pivotButton="0" quotePrefix="0" xfId="3">
      <alignment horizontal="center" vertical="center"/>
    </xf>
    <xf numFmtId="164" fontId="5" fillId="8" borderId="5" applyAlignment="1" pivotButton="0" quotePrefix="0" xfId="3">
      <alignment horizontal="center" vertical="center"/>
    </xf>
    <xf numFmtId="164" fontId="5" fillId="9" borderId="5" applyAlignment="1" pivotButton="0" quotePrefix="0" xfId="3">
      <alignment horizontal="center" vertical="center"/>
    </xf>
    <xf numFmtId="164" fontId="5" fillId="0" borderId="0" pivotButton="0" quotePrefix="0" xfId="0"/>
    <xf numFmtId="0" fontId="7" fillId="0" borderId="2" applyAlignment="1" pivotButton="0" quotePrefix="0" xfId="0">
      <alignment horizontal="center"/>
    </xf>
    <xf numFmtId="0" fontId="7" fillId="0" borderId="2" applyAlignment="1" pivotButton="0" quotePrefix="1" xfId="0">
      <alignment horizontal="center"/>
    </xf>
    <xf numFmtId="0" fontId="7" fillId="0" borderId="0" pivotButton="0" quotePrefix="0" xfId="0"/>
    <xf numFmtId="0" fontId="11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0" fillId="0" borderId="2" applyAlignment="1" pivotButton="0" quotePrefix="1" xfId="0">
      <alignment horizontal="left"/>
    </xf>
    <xf numFmtId="0" fontId="2" fillId="2" borderId="2" applyAlignment="1" pivotButton="0" quotePrefix="0" xfId="1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/>
    </xf>
    <xf numFmtId="0" fontId="0" fillId="10" borderId="0" pivotButton="0" quotePrefix="0" xfId="0"/>
    <xf numFmtId="0" fontId="5" fillId="3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2" applyAlignment="1" pivotButton="0" quotePrefix="1" xfId="0">
      <alignment horizontal="center"/>
    </xf>
    <xf numFmtId="49" fontId="0" fillId="11" borderId="2" applyAlignment="1" pivotButton="0" quotePrefix="1" xfId="0">
      <alignment horizontal="center"/>
    </xf>
    <xf numFmtId="0" fontId="0" fillId="11" borderId="2" applyAlignment="1" pivotButton="0" quotePrefix="1" xfId="0">
      <alignment horizontal="left"/>
    </xf>
    <xf numFmtId="0" fontId="13" fillId="12" borderId="0" applyAlignment="1" pivotButton="0" quotePrefix="0" xfId="4">
      <alignment horizontal="center" vertical="center" wrapText="1"/>
    </xf>
    <xf numFmtId="0" fontId="0" fillId="0" borderId="2" applyAlignment="1" pivotButton="0" quotePrefix="0" xfId="0">
      <alignment horizontal="left"/>
    </xf>
    <xf numFmtId="0" fontId="5" fillId="13" borderId="0" applyAlignment="1" pivotButton="0" quotePrefix="0" xfId="2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applyAlignment="1" pivotButton="0" quotePrefix="1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1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/>
    </xf>
    <xf numFmtId="0" fontId="7" fillId="0" borderId="2" applyAlignment="1" pivotButton="0" quotePrefix="1" xfId="0">
      <alignment horizontal="left"/>
    </xf>
    <xf numFmtId="0" fontId="7" fillId="0" borderId="2" pivotButton="0" quotePrefix="0" xfId="0"/>
    <xf numFmtId="0" fontId="5" fillId="14" borderId="0" applyAlignment="1" pivotButton="0" quotePrefix="0" xfId="2">
      <alignment horizontal="center" vertical="center"/>
    </xf>
    <xf numFmtId="0" fontId="11" fillId="15" borderId="7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14" borderId="0" pivotButton="0" quotePrefix="0" xfId="0"/>
    <xf numFmtId="0" fontId="10" fillId="1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/>
    </xf>
    <xf numFmtId="0" fontId="16" fillId="14" borderId="0" applyAlignment="1" pivotButton="0" quotePrefix="0" xfId="0">
      <alignment horizontal="right"/>
    </xf>
    <xf numFmtId="0" fontId="3" fillId="0" borderId="0" applyAlignment="1" pivotButton="0" quotePrefix="0" xfId="2">
      <alignment horizontal="right"/>
    </xf>
    <xf numFmtId="0" fontId="15" fillId="0" borderId="0" pivotButton="0" quotePrefix="0" xfId="0"/>
    <xf numFmtId="0" fontId="3" fillId="0" borderId="0" applyAlignment="1" pivotButton="0" quotePrefix="0" xfId="2">
      <alignment horizontal="left"/>
    </xf>
    <xf numFmtId="0" fontId="0" fillId="0" borderId="0" applyAlignment="1" pivotButton="0" quotePrefix="0" xfId="2">
      <alignment horizontal="right" vertical="center"/>
    </xf>
    <xf numFmtId="0" fontId="0" fillId="0" borderId="0" applyAlignment="1" pivotButton="0" quotePrefix="0" xfId="2">
      <alignment horizontal="left" vertical="center"/>
    </xf>
    <xf numFmtId="0" fontId="16" fillId="13" borderId="0" applyAlignment="1" pivotButton="0" quotePrefix="0" xfId="0">
      <alignment horizontal="right"/>
    </xf>
    <xf numFmtId="0" fontId="16" fillId="13" borderId="0" pivotButton="0" quotePrefix="0" xfId="0"/>
    <xf numFmtId="0" fontId="0" fillId="14" borderId="0" applyAlignment="1" pivotButton="0" quotePrefix="0" xfId="2">
      <alignment horizontal="right" vertical="center"/>
    </xf>
    <xf numFmtId="0" fontId="0" fillId="14" borderId="0" applyAlignment="1" pivotButton="0" quotePrefix="0" xfId="2">
      <alignment horizontal="left" vertical="center"/>
    </xf>
    <xf numFmtId="0" fontId="17" fillId="16" borderId="0" pivotButton="0" quotePrefix="0" xfId="0"/>
    <xf numFmtId="0" fontId="5" fillId="16" borderId="0" applyAlignment="1" pivotButton="0" quotePrefix="0" xfId="2">
      <alignment horizontal="center" vertical="center"/>
    </xf>
    <xf numFmtId="0" fontId="3" fillId="17" borderId="0" applyAlignment="1" pivotButton="0" quotePrefix="0" xfId="2">
      <alignment horizontal="right"/>
    </xf>
    <xf numFmtId="0" fontId="15" fillId="17" borderId="0" pivotButton="0" quotePrefix="0" xfId="0"/>
    <xf numFmtId="0" fontId="3" fillId="17" borderId="0" pivotButton="0" quotePrefix="0" xfId="2"/>
    <xf numFmtId="0" fontId="5" fillId="17" borderId="0" applyAlignment="1" pivotButton="0" quotePrefix="0" xfId="2">
      <alignment horizontal="center" vertical="center" wrapText="1"/>
    </xf>
    <xf numFmtId="0" fontId="0" fillId="17" borderId="0" applyAlignment="1" pivotButton="0" quotePrefix="0" xfId="2">
      <alignment horizontal="left" vertical="center"/>
    </xf>
    <xf numFmtId="0" fontId="17" fillId="17" borderId="0" pivotButton="0" quotePrefix="0" xfId="0"/>
    <xf numFmtId="0" fontId="16" fillId="17" borderId="0" pivotButton="0" quotePrefix="0" xfId="0"/>
    <xf numFmtId="0" fontId="5" fillId="19" borderId="0" applyAlignment="1" pivotButton="0" quotePrefix="0" xfId="2">
      <alignment horizontal="center" vertical="center" wrapText="1"/>
    </xf>
    <xf numFmtId="0" fontId="3" fillId="19" borderId="0" applyAlignment="1" pivotButton="0" quotePrefix="0" xfId="2">
      <alignment horizontal="right"/>
    </xf>
    <xf numFmtId="0" fontId="16" fillId="19" borderId="0" pivotButton="0" quotePrefix="0" xfId="0"/>
    <xf numFmtId="0" fontId="3" fillId="19" borderId="0" pivotButton="0" quotePrefix="0" xfId="2"/>
    <xf numFmtId="0" fontId="0" fillId="19" borderId="0" applyAlignment="1" pivotButton="0" quotePrefix="0" xfId="2">
      <alignment horizontal="left" vertical="center"/>
    </xf>
    <xf numFmtId="0" fontId="15" fillId="19" borderId="0" pivotButton="0" quotePrefix="0" xfId="0"/>
    <xf numFmtId="0" fontId="18" fillId="18" borderId="13" applyAlignment="1" pivotButton="0" quotePrefix="0" xfId="5">
      <alignment vertical="center" wrapText="1"/>
    </xf>
    <xf numFmtId="0" fontId="5" fillId="18" borderId="13" applyAlignment="1" pivotButton="0" quotePrefix="0" xfId="5">
      <alignment vertical="center" wrapText="1"/>
    </xf>
    <xf numFmtId="0" fontId="16" fillId="18" borderId="13" pivotButton="0" quotePrefix="0" xfId="5"/>
    <xf numFmtId="0" fontId="3" fillId="18" borderId="13" pivotButton="0" quotePrefix="0" xfId="5"/>
    <xf numFmtId="0" fontId="16" fillId="20" borderId="0" applyAlignment="1" pivotButton="0" quotePrefix="0" xfId="0">
      <alignment horizontal="right"/>
    </xf>
    <xf numFmtId="0" fontId="16" fillId="20" borderId="0" pivotButton="0" quotePrefix="0" xfId="0"/>
    <xf numFmtId="0" fontId="5" fillId="20" borderId="0" applyAlignment="1" pivotButton="0" quotePrefix="0" xfId="2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19" borderId="0" pivotButton="0" quotePrefix="0" xfId="2"/>
    <xf numFmtId="0" fontId="15" fillId="18" borderId="13" pivotButton="0" quotePrefix="0" xfId="5"/>
    <xf numFmtId="0" fontId="0" fillId="18" borderId="13" pivotButton="0" quotePrefix="0" xfId="5"/>
    <xf numFmtId="0" fontId="5" fillId="3" borderId="2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164" fontId="5" fillId="7" borderId="6" applyAlignment="1" pivotButton="0" quotePrefix="0" xfId="3">
      <alignment horizontal="center" vertical="center"/>
    </xf>
    <xf numFmtId="164" fontId="5" fillId="8" borderId="6" applyAlignment="1" pivotButton="0" quotePrefix="0" xfId="3">
      <alignment horizontal="center" vertical="center"/>
    </xf>
    <xf numFmtId="164" fontId="5" fillId="8" borderId="5" applyAlignment="1" pivotButton="0" quotePrefix="0" xfId="3">
      <alignment horizontal="center" vertical="center"/>
    </xf>
    <xf numFmtId="164" fontId="5" fillId="9" borderId="5" applyAlignment="1" pivotButton="0" quotePrefix="0" xfId="3">
      <alignment horizontal="center" vertical="center"/>
    </xf>
    <xf numFmtId="164" fontId="3" fillId="0" borderId="5" pivotButton="0" quotePrefix="0" xfId="3"/>
    <xf numFmtId="164" fontId="8" fillId="5" borderId="5" pivotButton="0" quotePrefix="0" xfId="3"/>
    <xf numFmtId="164" fontId="8" fillId="3" borderId="5" pivotButton="0" quotePrefix="0" xfId="3"/>
    <xf numFmtId="164" fontId="8" fillId="0" borderId="5" pivotButton="0" quotePrefix="0" xfId="3"/>
    <xf numFmtId="164" fontId="3" fillId="3" borderId="5" pivotButton="0" quotePrefix="0" xfId="3"/>
    <xf numFmtId="164" fontId="5" fillId="0" borderId="0" pivotButton="0" quotePrefix="0" xfId="0"/>
    <xf numFmtId="164" fontId="3" fillId="5" borderId="5" pivotButton="0" quotePrefix="0" xfId="3"/>
  </cellXfs>
  <cellStyles count="6">
    <cellStyle name="Normal" xfId="0" builtinId="0"/>
    <cellStyle name="Input" xfId="1" builtinId="20"/>
    <cellStyle name="Normal 2" xfId="2"/>
    <cellStyle name="Comma" xfId="3" builtinId="3"/>
    <cellStyle name="Hyperlink" xfId="4" builtinId="8"/>
    <cellStyle name="Note" xfId="5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Paduret, Dan</author>
  </authors>
  <commentList>
    <comment ref="J23" authorId="0" shapeId="0">
      <text>
        <t xml:space="preserve">o zona de 20 birouri 
</t>
      </text>
    </comment>
    <comment ref="H27" authorId="0" shapeId="0">
      <text>
        <t xml:space="preserve">Marina OEM: echipa lui Nicu + Adrian Joldis (aproximativ 12)
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aduret, Dan" refreshedDate="45818.69687037037" createdVersion="8" refreshedVersion="8" minRefreshableVersion="3" recordCount="707" r:id="rId1">
  <cacheSource type="worksheet">
    <worksheetSource ref="A1:F708" sheet="All_Desks"/>
  </cacheSource>
  <cacheFields count="6">
    <cacheField name="Building" uniqueList="1" numFmtId="0" sqlType="0" hierarchy="0" level="0" databaseField="1">
      <sharedItems count="2">
        <s v="T"/>
        <s v="R"/>
      </sharedItems>
    </cacheField>
    <cacheField name="Floor" uniqueList="1" numFmtId="0" sqlType="0" hierarchy="0" level="0" databaseField="1">
      <sharedItems count="4" containsInteger="1" containsNumber="1" containsSemiMixedTypes="0" containsString="0" minValue="3" maxValue="6">
        <n v="3"/>
        <n v="4"/>
        <n v="5"/>
        <n v="6"/>
      </sharedItems>
    </cacheField>
    <cacheField name="Area" uniqueList="1" numFmtId="0" sqlType="0" hierarchy="0" level="0" databaseField="1">
      <sharedItems count="8">
        <s v="A"/>
        <s v="B"/>
        <s v="C"/>
        <s v="D"/>
        <s v="E"/>
        <s v="F"/>
        <s v="G"/>
        <s v="H"/>
      </sharedItems>
    </cacheField>
    <cacheField name="Desk Number" uniqueList="1" numFmtId="0" sqlType="0" hierarchy="0" level="0" databaseField="1">
      <sharedItems count="0" containsInteger="1" containsMixedTypes="1" containsNumber="1" minValue="1" maxValue="4"/>
    </cacheField>
    <cacheField name="Row" uniqueList="1" numFmtId="0" sqlType="0" hierarchy="0" level="0" databaseField="1">
      <sharedItems count="0" containsInteger="1" containsMixedTypes="1" containsNumber="1" minValue="1" maxValue="7"/>
    </cacheField>
    <cacheField name="Desk number - Final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707">
  <r>
    <x v="0"/>
    <x v="0"/>
    <x v="0"/>
    <s v="01"/>
    <n v="1"/>
    <s v="T3-A1-01"/>
  </r>
  <r>
    <x v="0"/>
    <x v="0"/>
    <x v="0"/>
    <s v="02"/>
    <n v="1"/>
    <s v="T3-A1-02"/>
  </r>
  <r>
    <x v="0"/>
    <x v="0"/>
    <x v="0"/>
    <s v="03"/>
    <n v="1"/>
    <s v="T3-A1-03"/>
  </r>
  <r>
    <x v="0"/>
    <x v="0"/>
    <x v="0"/>
    <s v="04"/>
    <n v="1"/>
    <s v="T3-A1-04"/>
  </r>
  <r>
    <x v="0"/>
    <x v="0"/>
    <x v="0"/>
    <s v="05"/>
    <n v="1"/>
    <s v="T3-A1-05"/>
  </r>
  <r>
    <x v="0"/>
    <x v="0"/>
    <x v="0"/>
    <s v="06"/>
    <n v="1"/>
    <s v="T3-A1-06"/>
  </r>
  <r>
    <x v="0"/>
    <x v="0"/>
    <x v="0"/>
    <s v="07"/>
    <n v="1"/>
    <s v="T3-A1-07"/>
  </r>
  <r>
    <x v="0"/>
    <x v="0"/>
    <x v="0"/>
    <s v="08"/>
    <n v="1"/>
    <s v="T3-A1-08"/>
  </r>
  <r>
    <x v="0"/>
    <x v="0"/>
    <x v="0"/>
    <s v="01"/>
    <n v="2"/>
    <s v="T3-A2-01"/>
  </r>
  <r>
    <x v="0"/>
    <x v="0"/>
    <x v="0"/>
    <s v="02"/>
    <n v="2"/>
    <s v="T3-A2-02"/>
  </r>
  <r>
    <x v="0"/>
    <x v="0"/>
    <x v="0"/>
    <s v="03"/>
    <n v="2"/>
    <s v="T3-A2-03"/>
  </r>
  <r>
    <x v="0"/>
    <x v="0"/>
    <x v="0"/>
    <s v="04"/>
    <n v="2"/>
    <s v="T3-A2-04"/>
  </r>
  <r>
    <x v="0"/>
    <x v="0"/>
    <x v="0"/>
    <s v="05"/>
    <n v="2"/>
    <s v="T3-A2-05"/>
  </r>
  <r>
    <x v="0"/>
    <x v="0"/>
    <x v="0"/>
    <s v="06"/>
    <n v="2"/>
    <s v="T3-A2-06"/>
  </r>
  <r>
    <x v="0"/>
    <x v="0"/>
    <x v="0"/>
    <s v="07"/>
    <n v="2"/>
    <s v="T3-A2-07"/>
  </r>
  <r>
    <x v="0"/>
    <x v="0"/>
    <x v="0"/>
    <s v="08"/>
    <n v="2"/>
    <s v="T3-A2-08"/>
  </r>
  <r>
    <x v="0"/>
    <x v="0"/>
    <x v="0"/>
    <s v="01"/>
    <n v="3"/>
    <s v="T3-A3-01"/>
  </r>
  <r>
    <x v="0"/>
    <x v="0"/>
    <x v="0"/>
    <s v="01"/>
    <s v="M"/>
    <s v="T3-AM-01"/>
  </r>
  <r>
    <x v="0"/>
    <x v="0"/>
    <x v="1"/>
    <s v="01"/>
    <n v="1"/>
    <s v="T3-B1-01"/>
  </r>
  <r>
    <x v="0"/>
    <x v="0"/>
    <x v="1"/>
    <s v="02"/>
    <n v="1"/>
    <s v="T3-B1-02"/>
  </r>
  <r>
    <x v="0"/>
    <x v="0"/>
    <x v="1"/>
    <s v="03"/>
    <n v="1"/>
    <s v="T3-B1-03"/>
  </r>
  <r>
    <x v="0"/>
    <x v="0"/>
    <x v="1"/>
    <s v="04"/>
    <n v="1"/>
    <s v="T3-B1-04"/>
  </r>
  <r>
    <x v="0"/>
    <x v="0"/>
    <x v="1"/>
    <s v="02"/>
    <s v="M"/>
    <s v="T3-BM-02"/>
  </r>
  <r>
    <x v="0"/>
    <x v="0"/>
    <x v="2"/>
    <s v="01"/>
    <n v="1"/>
    <s v="T3-C1-01"/>
  </r>
  <r>
    <x v="0"/>
    <x v="0"/>
    <x v="2"/>
    <s v="02"/>
    <n v="1"/>
    <s v="T3-C1-02"/>
  </r>
  <r>
    <x v="0"/>
    <x v="0"/>
    <x v="2"/>
    <s v="03"/>
    <n v="1"/>
    <s v="T3-C1-03"/>
  </r>
  <r>
    <x v="0"/>
    <x v="0"/>
    <x v="2"/>
    <s v="04"/>
    <n v="1"/>
    <s v="T3-C1-04"/>
  </r>
  <r>
    <x v="0"/>
    <x v="0"/>
    <x v="2"/>
    <s v="05"/>
    <n v="1"/>
    <s v="T3-C1-05"/>
  </r>
  <r>
    <x v="0"/>
    <x v="0"/>
    <x v="2"/>
    <s v="06"/>
    <n v="1"/>
    <s v="T3-C1-06"/>
  </r>
  <r>
    <x v="0"/>
    <x v="0"/>
    <x v="2"/>
    <s v="07"/>
    <n v="1"/>
    <s v="T3-C1-07"/>
  </r>
  <r>
    <x v="0"/>
    <x v="0"/>
    <x v="2"/>
    <s v="08"/>
    <n v="1"/>
    <s v="T3-C1-08"/>
  </r>
  <r>
    <x v="0"/>
    <x v="0"/>
    <x v="2"/>
    <s v="01"/>
    <n v="2"/>
    <s v="T3-C2-01"/>
  </r>
  <r>
    <x v="0"/>
    <x v="0"/>
    <x v="2"/>
    <s v="02"/>
    <n v="2"/>
    <s v="T3-C2-02"/>
  </r>
  <r>
    <x v="0"/>
    <x v="0"/>
    <x v="2"/>
    <s v="03"/>
    <n v="2"/>
    <s v="T3-C2-03"/>
  </r>
  <r>
    <x v="0"/>
    <x v="0"/>
    <x v="2"/>
    <s v="04"/>
    <n v="2"/>
    <s v="T3-C2-04"/>
  </r>
  <r>
    <x v="0"/>
    <x v="0"/>
    <x v="2"/>
    <s v="05"/>
    <n v="2"/>
    <s v="T3-C2-05"/>
  </r>
  <r>
    <x v="0"/>
    <x v="0"/>
    <x v="2"/>
    <s v="06"/>
    <n v="2"/>
    <s v="T3-C2-06"/>
  </r>
  <r>
    <x v="0"/>
    <x v="0"/>
    <x v="2"/>
    <s v="07"/>
    <n v="2"/>
    <s v="T3-C2-07"/>
  </r>
  <r>
    <x v="0"/>
    <x v="0"/>
    <x v="2"/>
    <s v="08"/>
    <n v="2"/>
    <s v="T3-C2-08"/>
  </r>
  <r>
    <x v="0"/>
    <x v="0"/>
    <x v="2"/>
    <s v="01"/>
    <n v="3"/>
    <s v="T3-C3-01"/>
  </r>
  <r>
    <x v="0"/>
    <x v="0"/>
    <x v="2"/>
    <s v="02"/>
    <n v="3"/>
    <s v="T3-C3-02"/>
  </r>
  <r>
    <x v="0"/>
    <x v="0"/>
    <x v="2"/>
    <s v="03"/>
    <n v="3"/>
    <s v="T3-C3-03"/>
  </r>
  <r>
    <x v="0"/>
    <x v="0"/>
    <x v="2"/>
    <s v="04"/>
    <n v="3"/>
    <s v="T3-C3-04"/>
  </r>
  <r>
    <x v="0"/>
    <x v="0"/>
    <x v="2"/>
    <s v="05"/>
    <n v="3"/>
    <s v="T3-C3-05"/>
  </r>
  <r>
    <x v="0"/>
    <x v="0"/>
    <x v="2"/>
    <s v="06"/>
    <n v="3"/>
    <s v="T3-C3-06"/>
  </r>
  <r>
    <x v="0"/>
    <x v="0"/>
    <x v="2"/>
    <s v="01"/>
    <n v="4"/>
    <s v="T3-C4-01"/>
  </r>
  <r>
    <x v="0"/>
    <x v="0"/>
    <x v="2"/>
    <s v="02"/>
    <n v="4"/>
    <s v="T3-C4-02"/>
  </r>
  <r>
    <x v="0"/>
    <x v="0"/>
    <x v="2"/>
    <s v="03"/>
    <n v="4"/>
    <s v="T3-C4-03"/>
  </r>
  <r>
    <x v="0"/>
    <x v="0"/>
    <x v="2"/>
    <s v="04"/>
    <n v="4"/>
    <s v="T3-C4-04"/>
  </r>
  <r>
    <x v="0"/>
    <x v="0"/>
    <x v="2"/>
    <s v="05"/>
    <n v="4"/>
    <s v="T3-C4-05"/>
  </r>
  <r>
    <x v="0"/>
    <x v="0"/>
    <x v="2"/>
    <s v="06"/>
    <n v="4"/>
    <s v="T3-C4-06"/>
  </r>
  <r>
    <x v="0"/>
    <x v="0"/>
    <x v="2"/>
    <s v="01"/>
    <n v="5"/>
    <s v="T3-C5-01"/>
  </r>
  <r>
    <x v="0"/>
    <x v="0"/>
    <x v="2"/>
    <s v="02"/>
    <n v="5"/>
    <s v="T3-C5-02"/>
  </r>
  <r>
    <x v="0"/>
    <x v="0"/>
    <x v="2"/>
    <s v="03"/>
    <n v="5"/>
    <s v="T3-C5-03"/>
  </r>
  <r>
    <x v="0"/>
    <x v="0"/>
    <x v="2"/>
    <s v="04"/>
    <n v="5"/>
    <s v="T3-C5-04"/>
  </r>
  <r>
    <x v="0"/>
    <x v="0"/>
    <x v="2"/>
    <s v="05"/>
    <n v="5"/>
    <s v="T3-C5-05"/>
  </r>
  <r>
    <x v="0"/>
    <x v="0"/>
    <x v="2"/>
    <s v="06"/>
    <n v="5"/>
    <s v="T3-C5-06"/>
  </r>
  <r>
    <x v="0"/>
    <x v="0"/>
    <x v="2"/>
    <s v="01"/>
    <n v="6"/>
    <s v="T3-C6-01"/>
  </r>
  <r>
    <x v="0"/>
    <x v="0"/>
    <x v="2"/>
    <s v="02"/>
    <n v="6"/>
    <s v="T3-C6-02"/>
  </r>
  <r>
    <x v="0"/>
    <x v="0"/>
    <x v="2"/>
    <s v="03"/>
    <n v="6"/>
    <s v="T3-C6-03"/>
  </r>
  <r>
    <x v="0"/>
    <x v="0"/>
    <x v="2"/>
    <s v="04"/>
    <n v="6"/>
    <s v="T3-C6-04"/>
  </r>
  <r>
    <x v="0"/>
    <x v="0"/>
    <x v="2"/>
    <s v="05"/>
    <n v="6"/>
    <s v="T3-C6-05"/>
  </r>
  <r>
    <x v="0"/>
    <x v="0"/>
    <x v="2"/>
    <s v="06"/>
    <n v="6"/>
    <s v="T3-C6-06"/>
  </r>
  <r>
    <x v="0"/>
    <x v="0"/>
    <x v="2"/>
    <s v="01"/>
    <n v="7"/>
    <s v="T3-C7-01"/>
  </r>
  <r>
    <x v="0"/>
    <x v="0"/>
    <x v="3"/>
    <s v="03"/>
    <s v="M"/>
    <s v="T3-DM-03"/>
  </r>
  <r>
    <x v="0"/>
    <x v="0"/>
    <x v="3"/>
    <s v="04"/>
    <s v="M"/>
    <s v="T3-DM-04"/>
  </r>
  <r>
    <x v="0"/>
    <x v="0"/>
    <x v="3"/>
    <s v="05"/>
    <s v="M"/>
    <s v="T3-DM-05"/>
  </r>
  <r>
    <x v="0"/>
    <x v="0"/>
    <x v="3"/>
    <s v="06"/>
    <s v="M"/>
    <s v="T3-DM-06"/>
  </r>
  <r>
    <x v="0"/>
    <x v="0"/>
    <x v="3"/>
    <s v="01"/>
    <n v="1"/>
    <s v="T3-D1-01"/>
  </r>
  <r>
    <x v="0"/>
    <x v="0"/>
    <x v="3"/>
    <s v="02"/>
    <n v="1"/>
    <s v="T3-D1-02"/>
  </r>
  <r>
    <x v="0"/>
    <x v="0"/>
    <x v="3"/>
    <s v="03"/>
    <n v="1"/>
    <s v="T3-D1-03"/>
  </r>
  <r>
    <x v="0"/>
    <x v="0"/>
    <x v="3"/>
    <s v="04"/>
    <n v="1"/>
    <s v="T3-D1-04"/>
  </r>
  <r>
    <x v="0"/>
    <x v="0"/>
    <x v="3"/>
    <s v="05"/>
    <n v="1"/>
    <s v="T3-D1-05"/>
  </r>
  <r>
    <x v="0"/>
    <x v="0"/>
    <x v="3"/>
    <s v="06"/>
    <n v="1"/>
    <s v="T3-D1-06"/>
  </r>
  <r>
    <x v="0"/>
    <x v="0"/>
    <x v="3"/>
    <s v="01"/>
    <n v="2"/>
    <s v="T3-D2-01"/>
  </r>
  <r>
    <x v="0"/>
    <x v="0"/>
    <x v="3"/>
    <s v="02"/>
    <n v="2"/>
    <s v="T3-D2-02"/>
  </r>
  <r>
    <x v="0"/>
    <x v="0"/>
    <x v="3"/>
    <s v="03"/>
    <n v="2"/>
    <s v="T3-D2-03"/>
  </r>
  <r>
    <x v="0"/>
    <x v="0"/>
    <x v="3"/>
    <s v="04"/>
    <n v="2"/>
    <s v="T3-D2-04"/>
  </r>
  <r>
    <x v="0"/>
    <x v="0"/>
    <x v="3"/>
    <s v="05"/>
    <n v="2"/>
    <s v="T3-D2-05"/>
  </r>
  <r>
    <x v="0"/>
    <x v="0"/>
    <x v="3"/>
    <s v="06"/>
    <n v="2"/>
    <s v="T3-D2-06"/>
  </r>
  <r>
    <x v="0"/>
    <x v="1"/>
    <x v="0"/>
    <s v="01"/>
    <n v="1"/>
    <s v="T4-A1-01"/>
  </r>
  <r>
    <x v="0"/>
    <x v="1"/>
    <x v="0"/>
    <s v="02"/>
    <n v="1"/>
    <s v="T4-A1-02"/>
  </r>
  <r>
    <x v="0"/>
    <x v="1"/>
    <x v="0"/>
    <s v="03"/>
    <n v="1"/>
    <s v="T4-A1-03"/>
  </r>
  <r>
    <x v="0"/>
    <x v="1"/>
    <x v="0"/>
    <s v="04"/>
    <n v="1"/>
    <s v="T4-A1-04"/>
  </r>
  <r>
    <x v="0"/>
    <x v="1"/>
    <x v="0"/>
    <s v="05"/>
    <n v="1"/>
    <s v="T4-A1-05"/>
  </r>
  <r>
    <x v="0"/>
    <x v="1"/>
    <x v="0"/>
    <s v="06"/>
    <n v="1"/>
    <s v="T4-A1-06"/>
  </r>
  <r>
    <x v="0"/>
    <x v="1"/>
    <x v="0"/>
    <s v="07"/>
    <n v="1"/>
    <s v="T4-A1-07"/>
  </r>
  <r>
    <x v="0"/>
    <x v="1"/>
    <x v="0"/>
    <s v="08"/>
    <n v="1"/>
    <s v="T4-A1-08"/>
  </r>
  <r>
    <x v="0"/>
    <x v="1"/>
    <x v="0"/>
    <s v="01"/>
    <n v="2"/>
    <s v="T4-A2-01"/>
  </r>
  <r>
    <x v="0"/>
    <x v="1"/>
    <x v="0"/>
    <s v="02"/>
    <n v="2"/>
    <s v="T4-A2-02"/>
  </r>
  <r>
    <x v="0"/>
    <x v="1"/>
    <x v="0"/>
    <s v="03"/>
    <n v="2"/>
    <s v="T4-A2-03"/>
  </r>
  <r>
    <x v="0"/>
    <x v="1"/>
    <x v="0"/>
    <s v="04"/>
    <n v="2"/>
    <s v="T4-A2-04"/>
  </r>
  <r>
    <x v="0"/>
    <x v="1"/>
    <x v="0"/>
    <s v="05"/>
    <n v="2"/>
    <s v="T4-A2-05"/>
  </r>
  <r>
    <x v="0"/>
    <x v="1"/>
    <x v="0"/>
    <s v="06"/>
    <n v="2"/>
    <s v="T4-A2-06"/>
  </r>
  <r>
    <x v="0"/>
    <x v="1"/>
    <x v="0"/>
    <s v="07"/>
    <n v="2"/>
    <s v="T4-A2-07"/>
  </r>
  <r>
    <x v="0"/>
    <x v="1"/>
    <x v="0"/>
    <s v="08"/>
    <n v="2"/>
    <s v="T4-A2-08"/>
  </r>
  <r>
    <x v="0"/>
    <x v="1"/>
    <x v="0"/>
    <s v="01"/>
    <n v="3"/>
    <s v="T4-A3-01"/>
  </r>
  <r>
    <x v="0"/>
    <x v="1"/>
    <x v="0"/>
    <s v="02"/>
    <n v="3"/>
    <s v="T4-A3-02"/>
  </r>
  <r>
    <x v="0"/>
    <x v="1"/>
    <x v="0"/>
    <s v="03"/>
    <n v="3"/>
    <s v="T4-A3-03"/>
  </r>
  <r>
    <x v="0"/>
    <x v="1"/>
    <x v="0"/>
    <s v="04"/>
    <n v="3"/>
    <s v="T4-A3-04"/>
  </r>
  <r>
    <x v="0"/>
    <x v="1"/>
    <x v="0"/>
    <s v="05"/>
    <n v="3"/>
    <s v="T4-A3-05"/>
  </r>
  <r>
    <x v="0"/>
    <x v="1"/>
    <x v="0"/>
    <s v="06"/>
    <n v="3"/>
    <s v="T4-A3-06"/>
  </r>
  <r>
    <x v="0"/>
    <x v="1"/>
    <x v="0"/>
    <s v="07"/>
    <n v="3"/>
    <s v="T4-A3-07"/>
  </r>
  <r>
    <x v="0"/>
    <x v="1"/>
    <x v="0"/>
    <s v="08"/>
    <n v="3"/>
    <s v="T4-A3-08"/>
  </r>
  <r>
    <x v="0"/>
    <x v="1"/>
    <x v="0"/>
    <s v="03"/>
    <s v="M"/>
    <s v="T4-AM-03"/>
  </r>
  <r>
    <x v="0"/>
    <x v="1"/>
    <x v="0"/>
    <n v="1"/>
    <n v="4"/>
    <s v="T4-A4-1"/>
  </r>
  <r>
    <x v="0"/>
    <x v="1"/>
    <x v="0"/>
    <n v="2"/>
    <n v="4"/>
    <s v="T4-A4-2"/>
  </r>
  <r>
    <x v="0"/>
    <x v="1"/>
    <x v="0"/>
    <n v="3"/>
    <n v="4"/>
    <s v="T4-A4-3"/>
  </r>
  <r>
    <x v="0"/>
    <x v="1"/>
    <x v="0"/>
    <n v="4"/>
    <n v="4"/>
    <s v="T4-A4-4"/>
  </r>
  <r>
    <x v="0"/>
    <x v="1"/>
    <x v="1"/>
    <s v="01"/>
    <n v="1"/>
    <s v="T4-B1-01"/>
  </r>
  <r>
    <x v="0"/>
    <x v="1"/>
    <x v="1"/>
    <s v="02"/>
    <n v="1"/>
    <s v="T4-B1-02"/>
  </r>
  <r>
    <x v="0"/>
    <x v="1"/>
    <x v="1"/>
    <s v="03"/>
    <n v="1"/>
    <s v="T4-B1-03"/>
  </r>
  <r>
    <x v="0"/>
    <x v="1"/>
    <x v="1"/>
    <s v="04"/>
    <n v="1"/>
    <s v="T4-B1-04"/>
  </r>
  <r>
    <x v="0"/>
    <x v="1"/>
    <x v="1"/>
    <s v="05"/>
    <n v="1"/>
    <s v="T4-B1-05"/>
  </r>
  <r>
    <x v="0"/>
    <x v="1"/>
    <x v="1"/>
    <s v="01"/>
    <n v="2"/>
    <s v="T4-B2-01"/>
  </r>
  <r>
    <x v="0"/>
    <x v="1"/>
    <x v="1"/>
    <s v="02"/>
    <n v="2"/>
    <s v="T4-B2-02"/>
  </r>
  <r>
    <x v="0"/>
    <x v="1"/>
    <x v="1"/>
    <s v="03"/>
    <n v="2"/>
    <s v="T4-B2-03"/>
  </r>
  <r>
    <x v="0"/>
    <x v="1"/>
    <x v="1"/>
    <s v="04"/>
    <n v="2"/>
    <s v="T4-B2-04"/>
  </r>
  <r>
    <x v="0"/>
    <x v="1"/>
    <x v="1"/>
    <s v="05"/>
    <n v="2"/>
    <s v="T4-B2-05"/>
  </r>
  <r>
    <x v="0"/>
    <x v="1"/>
    <x v="1"/>
    <s v="06"/>
    <n v="2"/>
    <s v="T4-B2-06"/>
  </r>
  <r>
    <x v="0"/>
    <x v="1"/>
    <x v="2"/>
    <s v="01"/>
    <n v="1"/>
    <s v="T4-C1-01"/>
  </r>
  <r>
    <x v="0"/>
    <x v="1"/>
    <x v="2"/>
    <s v="02"/>
    <n v="1"/>
    <s v="T4-C1-02"/>
  </r>
  <r>
    <x v="0"/>
    <x v="1"/>
    <x v="2"/>
    <s v="03"/>
    <n v="1"/>
    <s v="T4-C1-03"/>
  </r>
  <r>
    <x v="0"/>
    <x v="1"/>
    <x v="2"/>
    <s v="04"/>
    <n v="1"/>
    <s v="T4-C1-04"/>
  </r>
  <r>
    <x v="0"/>
    <x v="1"/>
    <x v="2"/>
    <s v="05"/>
    <n v="1"/>
    <s v="T4-C1-05"/>
  </r>
  <r>
    <x v="0"/>
    <x v="1"/>
    <x v="2"/>
    <s v="06"/>
    <n v="1"/>
    <s v="T4-C1-06"/>
  </r>
  <r>
    <x v="0"/>
    <x v="1"/>
    <x v="2"/>
    <s v="01"/>
    <n v="2"/>
    <s v="T4-C2-01"/>
  </r>
  <r>
    <x v="0"/>
    <x v="1"/>
    <x v="2"/>
    <s v="02"/>
    <n v="2"/>
    <s v="T4-C2-02"/>
  </r>
  <r>
    <x v="0"/>
    <x v="1"/>
    <x v="2"/>
    <s v="03"/>
    <n v="2"/>
    <s v="T4-C2-03"/>
  </r>
  <r>
    <x v="0"/>
    <x v="1"/>
    <x v="2"/>
    <s v="04"/>
    <n v="2"/>
    <s v="T4-C2-04"/>
  </r>
  <r>
    <x v="0"/>
    <x v="1"/>
    <x v="2"/>
    <s v="05"/>
    <n v="2"/>
    <s v="T4-C2-05"/>
  </r>
  <r>
    <x v="0"/>
    <x v="1"/>
    <x v="2"/>
    <s v="06"/>
    <n v="2"/>
    <s v="T4-C2-06"/>
  </r>
  <r>
    <x v="0"/>
    <x v="1"/>
    <x v="2"/>
    <s v="01"/>
    <n v="3"/>
    <s v="T4-C3-01"/>
  </r>
  <r>
    <x v="0"/>
    <x v="1"/>
    <x v="2"/>
    <s v="02"/>
    <n v="3"/>
    <s v="T4-C3-02"/>
  </r>
  <r>
    <x v="0"/>
    <x v="1"/>
    <x v="2"/>
    <s v="03"/>
    <n v="3"/>
    <s v="T4-C3-03"/>
  </r>
  <r>
    <x v="0"/>
    <x v="1"/>
    <x v="2"/>
    <s v="04"/>
    <n v="3"/>
    <s v="T4-C3-04"/>
  </r>
  <r>
    <x v="0"/>
    <x v="1"/>
    <x v="2"/>
    <s v="05"/>
    <n v="3"/>
    <s v="T4-C3-05"/>
  </r>
  <r>
    <x v="0"/>
    <x v="1"/>
    <x v="2"/>
    <s v="06"/>
    <n v="3"/>
    <s v="T4-C3-06"/>
  </r>
  <r>
    <x v="0"/>
    <x v="1"/>
    <x v="2"/>
    <s v="01"/>
    <n v="4"/>
    <s v="T4-C4-01"/>
  </r>
  <r>
    <x v="0"/>
    <x v="1"/>
    <x v="2"/>
    <s v="02"/>
    <n v="4"/>
    <s v="T4-C4-02"/>
  </r>
  <r>
    <x v="0"/>
    <x v="1"/>
    <x v="2"/>
    <s v="03"/>
    <n v="4"/>
    <s v="T4-C4-03"/>
  </r>
  <r>
    <x v="0"/>
    <x v="1"/>
    <x v="2"/>
    <s v="04"/>
    <n v="4"/>
    <s v="T4-C4-04"/>
  </r>
  <r>
    <x v="0"/>
    <x v="1"/>
    <x v="2"/>
    <s v="05"/>
    <n v="4"/>
    <s v="T4-C4-05"/>
  </r>
  <r>
    <x v="0"/>
    <x v="1"/>
    <x v="2"/>
    <s v="06"/>
    <n v="4"/>
    <s v="T4-C4-06"/>
  </r>
  <r>
    <x v="0"/>
    <x v="1"/>
    <x v="2"/>
    <s v="01"/>
    <n v="5"/>
    <s v="T4-C5-01"/>
  </r>
  <r>
    <x v="0"/>
    <x v="1"/>
    <x v="2"/>
    <s v="02"/>
    <n v="5"/>
    <s v="T4-C5-02"/>
  </r>
  <r>
    <x v="0"/>
    <x v="1"/>
    <x v="2"/>
    <s v="03"/>
    <n v="5"/>
    <s v="T4-C5-03"/>
  </r>
  <r>
    <x v="0"/>
    <x v="1"/>
    <x v="2"/>
    <s v="04"/>
    <n v="5"/>
    <s v="T4-C5-04"/>
  </r>
  <r>
    <x v="0"/>
    <x v="1"/>
    <x v="2"/>
    <s v="05"/>
    <n v="5"/>
    <s v="T4-C5-05"/>
  </r>
  <r>
    <x v="0"/>
    <x v="1"/>
    <x v="2"/>
    <s v="06"/>
    <n v="5"/>
    <s v="T4-C5-06"/>
  </r>
  <r>
    <x v="0"/>
    <x v="1"/>
    <x v="2"/>
    <s v="01"/>
    <n v="6"/>
    <s v="T4-C6-01"/>
  </r>
  <r>
    <x v="0"/>
    <x v="1"/>
    <x v="2"/>
    <s v="02"/>
    <n v="6"/>
    <s v="T4-C6-02"/>
  </r>
  <r>
    <x v="0"/>
    <x v="1"/>
    <x v="2"/>
    <s v="03"/>
    <n v="6"/>
    <s v="T4-C6-03"/>
  </r>
  <r>
    <x v="0"/>
    <x v="1"/>
    <x v="2"/>
    <s v="04"/>
    <n v="6"/>
    <s v="T4-C6-04"/>
  </r>
  <r>
    <x v="0"/>
    <x v="1"/>
    <x v="2"/>
    <s v="05"/>
    <n v="6"/>
    <s v="T4-C6-05"/>
  </r>
  <r>
    <x v="0"/>
    <x v="1"/>
    <x v="2"/>
    <s v="06"/>
    <n v="6"/>
    <s v="T4-C6-06"/>
  </r>
  <r>
    <x v="0"/>
    <x v="1"/>
    <x v="2"/>
    <s v="01"/>
    <s v="M"/>
    <s v="T4-CM-01"/>
  </r>
  <r>
    <x v="0"/>
    <x v="1"/>
    <x v="2"/>
    <s v="02"/>
    <s v="M"/>
    <s v="T4-CM-02"/>
  </r>
  <r>
    <x v="0"/>
    <x v="1"/>
    <x v="3"/>
    <s v="01"/>
    <n v="1"/>
    <s v="T4-D1-01"/>
  </r>
  <r>
    <x v="0"/>
    <x v="1"/>
    <x v="3"/>
    <s v="02"/>
    <n v="1"/>
    <s v="T4-D1-02"/>
  </r>
  <r>
    <x v="0"/>
    <x v="1"/>
    <x v="3"/>
    <s v="03"/>
    <n v="1"/>
    <s v="T4-D1-03"/>
  </r>
  <r>
    <x v="0"/>
    <x v="1"/>
    <x v="3"/>
    <s v="04"/>
    <n v="1"/>
    <s v="T4-D1-04"/>
  </r>
  <r>
    <x v="0"/>
    <x v="1"/>
    <x v="3"/>
    <s v="05"/>
    <n v="1"/>
    <s v="T4-D1-05"/>
  </r>
  <r>
    <x v="0"/>
    <x v="1"/>
    <x v="3"/>
    <s v="06"/>
    <n v="1"/>
    <s v="T4-D1-06"/>
  </r>
  <r>
    <x v="0"/>
    <x v="1"/>
    <x v="3"/>
    <s v="01"/>
    <n v="2"/>
    <s v="T4-D2-01"/>
  </r>
  <r>
    <x v="0"/>
    <x v="1"/>
    <x v="3"/>
    <s v="02"/>
    <n v="2"/>
    <s v="T4-D2-02"/>
  </r>
  <r>
    <x v="0"/>
    <x v="1"/>
    <x v="3"/>
    <s v="03"/>
    <n v="2"/>
    <s v="T4-D2-03"/>
  </r>
  <r>
    <x v="0"/>
    <x v="1"/>
    <x v="3"/>
    <s v="04"/>
    <n v="2"/>
    <s v="T4-D2-04"/>
  </r>
  <r>
    <x v="0"/>
    <x v="1"/>
    <x v="3"/>
    <s v="05"/>
    <n v="2"/>
    <s v="T4-D2-05"/>
  </r>
  <r>
    <x v="0"/>
    <x v="1"/>
    <x v="3"/>
    <s v="06"/>
    <n v="2"/>
    <s v="T4-D2-06"/>
  </r>
  <r>
    <x v="0"/>
    <x v="1"/>
    <x v="3"/>
    <s v="01"/>
    <n v="3"/>
    <s v="T4-D3-01"/>
  </r>
  <r>
    <x v="0"/>
    <x v="1"/>
    <x v="3"/>
    <s v="02"/>
    <n v="3"/>
    <s v="T4-D3-02"/>
  </r>
  <r>
    <x v="0"/>
    <x v="1"/>
    <x v="3"/>
    <s v="03"/>
    <n v="3"/>
    <s v="T4-D3-03"/>
  </r>
  <r>
    <x v="0"/>
    <x v="1"/>
    <x v="3"/>
    <s v="04"/>
    <n v="3"/>
    <s v="T4-D3-04"/>
  </r>
  <r>
    <x v="0"/>
    <x v="1"/>
    <x v="3"/>
    <s v="05"/>
    <n v="3"/>
    <s v="T4-D3-05"/>
  </r>
  <r>
    <x v="0"/>
    <x v="1"/>
    <x v="3"/>
    <s v="06"/>
    <n v="3"/>
    <s v="T4-D3-06"/>
  </r>
  <r>
    <x v="0"/>
    <x v="1"/>
    <x v="3"/>
    <s v="01"/>
    <n v="4"/>
    <s v="T4-D4-01"/>
  </r>
  <r>
    <x v="0"/>
    <x v="1"/>
    <x v="3"/>
    <s v="02"/>
    <n v="4"/>
    <s v="T4-D4-02"/>
  </r>
  <r>
    <x v="0"/>
    <x v="1"/>
    <x v="3"/>
    <s v="03"/>
    <n v="4"/>
    <s v="T4-D4-03"/>
  </r>
  <r>
    <x v="0"/>
    <x v="1"/>
    <x v="3"/>
    <s v="04"/>
    <n v="4"/>
    <s v="T4-D4-04"/>
  </r>
  <r>
    <x v="0"/>
    <x v="1"/>
    <x v="3"/>
    <s v="05"/>
    <n v="4"/>
    <s v="T4-D4-05"/>
  </r>
  <r>
    <x v="0"/>
    <x v="1"/>
    <x v="3"/>
    <s v="06"/>
    <n v="4"/>
    <s v="T4-D4-06"/>
  </r>
  <r>
    <x v="0"/>
    <x v="2"/>
    <x v="0"/>
    <s v="01"/>
    <n v="1"/>
    <s v="T5-A1-01"/>
  </r>
  <r>
    <x v="0"/>
    <x v="2"/>
    <x v="0"/>
    <s v="02"/>
    <n v="1"/>
    <s v="T5-A1-02"/>
  </r>
  <r>
    <x v="0"/>
    <x v="2"/>
    <x v="0"/>
    <s v="03"/>
    <n v="1"/>
    <s v="T5-A1-03"/>
  </r>
  <r>
    <x v="0"/>
    <x v="2"/>
    <x v="0"/>
    <s v="04"/>
    <n v="1"/>
    <s v="T5-A1-04"/>
  </r>
  <r>
    <x v="0"/>
    <x v="2"/>
    <x v="0"/>
    <s v="05"/>
    <n v="1"/>
    <s v="T5-A1-05"/>
  </r>
  <r>
    <x v="0"/>
    <x v="2"/>
    <x v="0"/>
    <s v="06"/>
    <n v="1"/>
    <s v="T5-A1-06"/>
  </r>
  <r>
    <x v="0"/>
    <x v="2"/>
    <x v="0"/>
    <s v="07"/>
    <n v="1"/>
    <s v="T5-A1-07"/>
  </r>
  <r>
    <x v="0"/>
    <x v="2"/>
    <x v="0"/>
    <s v="08"/>
    <n v="1"/>
    <s v="T5-A1-08"/>
  </r>
  <r>
    <x v="0"/>
    <x v="2"/>
    <x v="0"/>
    <s v="01"/>
    <n v="2"/>
    <s v="T5-A2-01"/>
  </r>
  <r>
    <x v="0"/>
    <x v="2"/>
    <x v="0"/>
    <s v="02"/>
    <n v="2"/>
    <s v="T5-A2-02"/>
  </r>
  <r>
    <x v="0"/>
    <x v="2"/>
    <x v="0"/>
    <s v="03"/>
    <n v="2"/>
    <s v="T5-A2-03"/>
  </r>
  <r>
    <x v="0"/>
    <x v="2"/>
    <x v="0"/>
    <s v="04"/>
    <n v="2"/>
    <s v="T5-A2-04"/>
  </r>
  <r>
    <x v="0"/>
    <x v="2"/>
    <x v="0"/>
    <s v="05"/>
    <n v="2"/>
    <s v="T5-A2-05"/>
  </r>
  <r>
    <x v="0"/>
    <x v="2"/>
    <x v="0"/>
    <s v="06"/>
    <n v="2"/>
    <s v="T5-A2-06"/>
  </r>
  <r>
    <x v="0"/>
    <x v="2"/>
    <x v="0"/>
    <s v="07"/>
    <n v="2"/>
    <s v="T5-A2-07"/>
  </r>
  <r>
    <x v="0"/>
    <x v="2"/>
    <x v="0"/>
    <s v="08"/>
    <n v="2"/>
    <s v="T5-A2-08"/>
  </r>
  <r>
    <x v="0"/>
    <x v="2"/>
    <x v="0"/>
    <s v="01"/>
    <n v="3"/>
    <s v="T5-A3-01"/>
  </r>
  <r>
    <x v="0"/>
    <x v="2"/>
    <x v="0"/>
    <s v="02"/>
    <n v="3"/>
    <s v="T5-A3-02"/>
  </r>
  <r>
    <x v="0"/>
    <x v="2"/>
    <x v="0"/>
    <s v="03"/>
    <n v="3"/>
    <s v="T5-A3-03"/>
  </r>
  <r>
    <x v="0"/>
    <x v="2"/>
    <x v="0"/>
    <s v="04"/>
    <n v="3"/>
    <s v="T5-A3-04"/>
  </r>
  <r>
    <x v="0"/>
    <x v="2"/>
    <x v="0"/>
    <s v="05"/>
    <n v="3"/>
    <s v="T5-A3-05"/>
  </r>
  <r>
    <x v="0"/>
    <x v="2"/>
    <x v="0"/>
    <s v="06"/>
    <n v="3"/>
    <s v="T5-A3-06"/>
  </r>
  <r>
    <x v="0"/>
    <x v="2"/>
    <x v="0"/>
    <s v="07"/>
    <n v="3"/>
    <s v="T5-A3-07"/>
  </r>
  <r>
    <x v="0"/>
    <x v="2"/>
    <x v="0"/>
    <s v="08"/>
    <n v="3"/>
    <s v="T5-A3-08"/>
  </r>
  <r>
    <x v="0"/>
    <x v="2"/>
    <x v="0"/>
    <s v="03"/>
    <s v="M"/>
    <s v="T5-AM-03"/>
  </r>
  <r>
    <x v="0"/>
    <x v="2"/>
    <x v="0"/>
    <n v="1"/>
    <n v="4"/>
    <s v="T5-A4-1"/>
  </r>
  <r>
    <x v="0"/>
    <x v="2"/>
    <x v="0"/>
    <n v="2"/>
    <n v="4"/>
    <s v="T5-A4-2"/>
  </r>
  <r>
    <x v="0"/>
    <x v="2"/>
    <x v="0"/>
    <n v="3"/>
    <n v="4"/>
    <s v="T5-A4-3"/>
  </r>
  <r>
    <x v="0"/>
    <x v="2"/>
    <x v="0"/>
    <n v="4"/>
    <n v="4"/>
    <s v="T5-A4-4"/>
  </r>
  <r>
    <x v="0"/>
    <x v="2"/>
    <x v="1"/>
    <s v="01"/>
    <n v="1"/>
    <s v="T5-B1-01"/>
  </r>
  <r>
    <x v="0"/>
    <x v="2"/>
    <x v="1"/>
    <s v="02"/>
    <n v="1"/>
    <s v="T5-B1-02"/>
  </r>
  <r>
    <x v="0"/>
    <x v="2"/>
    <x v="1"/>
    <s v="03"/>
    <n v="1"/>
    <s v="T5-B1-03"/>
  </r>
  <r>
    <x v="0"/>
    <x v="2"/>
    <x v="1"/>
    <s v="04"/>
    <n v="1"/>
    <s v="T5-B1-04"/>
  </r>
  <r>
    <x v="0"/>
    <x v="2"/>
    <x v="1"/>
    <s v="05"/>
    <n v="1"/>
    <s v="T5-B1-05"/>
  </r>
  <r>
    <x v="0"/>
    <x v="2"/>
    <x v="1"/>
    <s v="01"/>
    <n v="2"/>
    <s v="T5-B2-01"/>
  </r>
  <r>
    <x v="0"/>
    <x v="2"/>
    <x v="1"/>
    <s v="02"/>
    <n v="2"/>
    <s v="T5-B2-02"/>
  </r>
  <r>
    <x v="0"/>
    <x v="2"/>
    <x v="1"/>
    <s v="03"/>
    <n v="2"/>
    <s v="T5-B2-03"/>
  </r>
  <r>
    <x v="0"/>
    <x v="2"/>
    <x v="1"/>
    <s v="04"/>
    <n v="2"/>
    <s v="T5-B2-04"/>
  </r>
  <r>
    <x v="0"/>
    <x v="2"/>
    <x v="1"/>
    <s v="05"/>
    <n v="2"/>
    <s v="T5-B2-05"/>
  </r>
  <r>
    <x v="0"/>
    <x v="2"/>
    <x v="1"/>
    <s v="06"/>
    <n v="2"/>
    <s v="T5-B2-06"/>
  </r>
  <r>
    <x v="0"/>
    <x v="2"/>
    <x v="2"/>
    <s v="01"/>
    <n v="1"/>
    <s v="T5-C1-01"/>
  </r>
  <r>
    <x v="0"/>
    <x v="2"/>
    <x v="2"/>
    <s v="02"/>
    <n v="1"/>
    <s v="T5-C1-02"/>
  </r>
  <r>
    <x v="0"/>
    <x v="2"/>
    <x v="2"/>
    <s v="03"/>
    <n v="1"/>
    <s v="T5-C1-03"/>
  </r>
  <r>
    <x v="0"/>
    <x v="2"/>
    <x v="2"/>
    <s v="04"/>
    <n v="1"/>
    <s v="T5-C1-04"/>
  </r>
  <r>
    <x v="0"/>
    <x v="2"/>
    <x v="2"/>
    <s v="05"/>
    <n v="1"/>
    <s v="T5-C1-05"/>
  </r>
  <r>
    <x v="0"/>
    <x v="2"/>
    <x v="2"/>
    <s v="06"/>
    <n v="1"/>
    <s v="T5-C1-06"/>
  </r>
  <r>
    <x v="0"/>
    <x v="2"/>
    <x v="2"/>
    <s v="01"/>
    <n v="2"/>
    <s v="T5-C2-01"/>
  </r>
  <r>
    <x v="0"/>
    <x v="2"/>
    <x v="2"/>
    <s v="02"/>
    <n v="2"/>
    <s v="T5-C2-02"/>
  </r>
  <r>
    <x v="0"/>
    <x v="2"/>
    <x v="2"/>
    <s v="03"/>
    <n v="2"/>
    <s v="T5-C2-03"/>
  </r>
  <r>
    <x v="0"/>
    <x v="2"/>
    <x v="2"/>
    <s v="04"/>
    <n v="2"/>
    <s v="T5-C2-04"/>
  </r>
  <r>
    <x v="0"/>
    <x v="2"/>
    <x v="2"/>
    <s v="05"/>
    <n v="2"/>
    <s v="T5-C2-05"/>
  </r>
  <r>
    <x v="0"/>
    <x v="2"/>
    <x v="2"/>
    <s v="06"/>
    <n v="2"/>
    <s v="T5-C2-06"/>
  </r>
  <r>
    <x v="0"/>
    <x v="2"/>
    <x v="2"/>
    <s v="01"/>
    <n v="3"/>
    <s v="T5-C3-01"/>
  </r>
  <r>
    <x v="0"/>
    <x v="2"/>
    <x v="2"/>
    <s v="02"/>
    <n v="3"/>
    <s v="T5-C3-02"/>
  </r>
  <r>
    <x v="0"/>
    <x v="2"/>
    <x v="2"/>
    <s v="03"/>
    <n v="3"/>
    <s v="T5-C3-03"/>
  </r>
  <r>
    <x v="0"/>
    <x v="2"/>
    <x v="2"/>
    <s v="04"/>
    <n v="3"/>
    <s v="T5-C3-04"/>
  </r>
  <r>
    <x v="0"/>
    <x v="2"/>
    <x v="2"/>
    <s v="05"/>
    <n v="3"/>
    <s v="T5-C3-05"/>
  </r>
  <r>
    <x v="0"/>
    <x v="2"/>
    <x v="2"/>
    <s v="06"/>
    <n v="3"/>
    <s v="T5-C3-06"/>
  </r>
  <r>
    <x v="0"/>
    <x v="2"/>
    <x v="2"/>
    <s v="01"/>
    <n v="4"/>
    <s v="T5-C4-01"/>
  </r>
  <r>
    <x v="0"/>
    <x v="2"/>
    <x v="2"/>
    <s v="02"/>
    <n v="4"/>
    <s v="T5-C4-02"/>
  </r>
  <r>
    <x v="0"/>
    <x v="2"/>
    <x v="2"/>
    <s v="03"/>
    <n v="4"/>
    <s v="T5-C4-03"/>
  </r>
  <r>
    <x v="0"/>
    <x v="2"/>
    <x v="2"/>
    <s v="04"/>
    <n v="4"/>
    <s v="T5-C4-04"/>
  </r>
  <r>
    <x v="0"/>
    <x v="2"/>
    <x v="2"/>
    <s v="05"/>
    <n v="4"/>
    <s v="T5-C4-05"/>
  </r>
  <r>
    <x v="0"/>
    <x v="2"/>
    <x v="2"/>
    <s v="06"/>
    <n v="4"/>
    <s v="T5-C4-06"/>
  </r>
  <r>
    <x v="0"/>
    <x v="2"/>
    <x v="2"/>
    <s v="01"/>
    <n v="5"/>
    <s v="T5-C5-01"/>
  </r>
  <r>
    <x v="0"/>
    <x v="2"/>
    <x v="2"/>
    <s v="02"/>
    <n v="5"/>
    <s v="T5-C5-02"/>
  </r>
  <r>
    <x v="0"/>
    <x v="2"/>
    <x v="2"/>
    <s v="03"/>
    <n v="5"/>
    <s v="T5-C5-03"/>
  </r>
  <r>
    <x v="0"/>
    <x v="2"/>
    <x v="2"/>
    <s v="04"/>
    <n v="5"/>
    <s v="T5-C5-04"/>
  </r>
  <r>
    <x v="0"/>
    <x v="2"/>
    <x v="2"/>
    <s v="05"/>
    <n v="5"/>
    <s v="T5-C5-05"/>
  </r>
  <r>
    <x v="0"/>
    <x v="2"/>
    <x v="2"/>
    <s v="06"/>
    <n v="5"/>
    <s v="T5-C5-06"/>
  </r>
  <r>
    <x v="0"/>
    <x v="2"/>
    <x v="2"/>
    <s v="01"/>
    <n v="6"/>
    <s v="T5-C6-01"/>
  </r>
  <r>
    <x v="0"/>
    <x v="2"/>
    <x v="2"/>
    <s v="02"/>
    <n v="6"/>
    <s v="T5-C6-02"/>
  </r>
  <r>
    <x v="0"/>
    <x v="2"/>
    <x v="2"/>
    <s v="03"/>
    <n v="6"/>
    <s v="T5-C6-03"/>
  </r>
  <r>
    <x v="0"/>
    <x v="2"/>
    <x v="2"/>
    <s v="04"/>
    <n v="6"/>
    <s v="T5-C6-04"/>
  </r>
  <r>
    <x v="0"/>
    <x v="2"/>
    <x v="2"/>
    <s v="05"/>
    <n v="6"/>
    <s v="T5-C6-05"/>
  </r>
  <r>
    <x v="0"/>
    <x v="2"/>
    <x v="2"/>
    <s v="06"/>
    <n v="6"/>
    <s v="T5-C6-06"/>
  </r>
  <r>
    <x v="0"/>
    <x v="2"/>
    <x v="2"/>
    <s v="01"/>
    <s v="M"/>
    <s v="T5-CM-01"/>
  </r>
  <r>
    <x v="0"/>
    <x v="2"/>
    <x v="2"/>
    <s v="02"/>
    <s v="M"/>
    <s v="T5-CM-02"/>
  </r>
  <r>
    <x v="0"/>
    <x v="2"/>
    <x v="3"/>
    <s v="01"/>
    <n v="1"/>
    <s v="T5-D1-01"/>
  </r>
  <r>
    <x v="0"/>
    <x v="2"/>
    <x v="3"/>
    <s v="02"/>
    <n v="1"/>
    <s v="T5-D1-02"/>
  </r>
  <r>
    <x v="0"/>
    <x v="2"/>
    <x v="3"/>
    <s v="03"/>
    <n v="1"/>
    <s v="T5-D1-03"/>
  </r>
  <r>
    <x v="0"/>
    <x v="2"/>
    <x v="3"/>
    <s v="04"/>
    <n v="1"/>
    <s v="T5-D1-04"/>
  </r>
  <r>
    <x v="0"/>
    <x v="2"/>
    <x v="3"/>
    <s v="05"/>
    <n v="1"/>
    <s v="T5-D1-05"/>
  </r>
  <r>
    <x v="0"/>
    <x v="2"/>
    <x v="3"/>
    <s v="06"/>
    <n v="1"/>
    <s v="T5-D1-06"/>
  </r>
  <r>
    <x v="0"/>
    <x v="2"/>
    <x v="3"/>
    <s v="01"/>
    <n v="2"/>
    <s v="T5-D2-01"/>
  </r>
  <r>
    <x v="0"/>
    <x v="2"/>
    <x v="3"/>
    <s v="02"/>
    <n v="2"/>
    <s v="T5-D2-02"/>
  </r>
  <r>
    <x v="0"/>
    <x v="2"/>
    <x v="3"/>
    <s v="03"/>
    <n v="2"/>
    <s v="T5-D2-03"/>
  </r>
  <r>
    <x v="0"/>
    <x v="2"/>
    <x v="3"/>
    <s v="04"/>
    <n v="2"/>
    <s v="T5-D2-04"/>
  </r>
  <r>
    <x v="0"/>
    <x v="2"/>
    <x v="3"/>
    <s v="05"/>
    <n v="2"/>
    <s v="T5-D2-05"/>
  </r>
  <r>
    <x v="0"/>
    <x v="2"/>
    <x v="3"/>
    <s v="06"/>
    <n v="2"/>
    <s v="T5-D2-06"/>
  </r>
  <r>
    <x v="0"/>
    <x v="2"/>
    <x v="3"/>
    <s v="01"/>
    <n v="3"/>
    <s v="T5-D3-01"/>
  </r>
  <r>
    <x v="0"/>
    <x v="2"/>
    <x v="3"/>
    <s v="02"/>
    <n v="3"/>
    <s v="T5-D3-02"/>
  </r>
  <r>
    <x v="0"/>
    <x v="2"/>
    <x v="3"/>
    <s v="03"/>
    <n v="3"/>
    <s v="T5-D3-03"/>
  </r>
  <r>
    <x v="0"/>
    <x v="2"/>
    <x v="3"/>
    <s v="04"/>
    <n v="3"/>
    <s v="T5-D3-04"/>
  </r>
  <r>
    <x v="0"/>
    <x v="2"/>
    <x v="3"/>
    <s v="05"/>
    <n v="3"/>
    <s v="T5-D3-05"/>
  </r>
  <r>
    <x v="0"/>
    <x v="2"/>
    <x v="3"/>
    <s v="06"/>
    <n v="3"/>
    <s v="T5-D3-06"/>
  </r>
  <r>
    <x v="0"/>
    <x v="2"/>
    <x v="3"/>
    <s v="01"/>
    <n v="4"/>
    <s v="T5-D4-01"/>
  </r>
  <r>
    <x v="0"/>
    <x v="2"/>
    <x v="3"/>
    <s v="02"/>
    <n v="4"/>
    <s v="T5-D4-02"/>
  </r>
  <r>
    <x v="0"/>
    <x v="2"/>
    <x v="3"/>
    <s v="03"/>
    <n v="4"/>
    <s v="T5-D4-03"/>
  </r>
  <r>
    <x v="0"/>
    <x v="2"/>
    <x v="3"/>
    <s v="04"/>
    <n v="4"/>
    <s v="T5-D4-04"/>
  </r>
  <r>
    <x v="0"/>
    <x v="2"/>
    <x v="3"/>
    <s v="05"/>
    <n v="4"/>
    <s v="T5-D4-05"/>
  </r>
  <r>
    <x v="0"/>
    <x v="2"/>
    <x v="3"/>
    <s v="06"/>
    <n v="4"/>
    <s v="T5-D4-06"/>
  </r>
  <r>
    <x v="0"/>
    <x v="3"/>
    <x v="0"/>
    <s v="01"/>
    <n v="1"/>
    <s v="T6-A1-01"/>
  </r>
  <r>
    <x v="0"/>
    <x v="3"/>
    <x v="0"/>
    <s v="02"/>
    <n v="1"/>
    <s v="T6-A1-02"/>
  </r>
  <r>
    <x v="0"/>
    <x v="3"/>
    <x v="0"/>
    <s v="03"/>
    <n v="1"/>
    <s v="T6-A1-03"/>
  </r>
  <r>
    <x v="0"/>
    <x v="3"/>
    <x v="0"/>
    <s v="04"/>
    <n v="1"/>
    <s v="T6-A1-04"/>
  </r>
  <r>
    <x v="0"/>
    <x v="3"/>
    <x v="0"/>
    <s v="05"/>
    <n v="1"/>
    <s v="T6-A1-05"/>
  </r>
  <r>
    <x v="0"/>
    <x v="3"/>
    <x v="0"/>
    <s v="06"/>
    <n v="1"/>
    <s v="T6-A1-06"/>
  </r>
  <r>
    <x v="0"/>
    <x v="3"/>
    <x v="0"/>
    <s v="07"/>
    <n v="1"/>
    <s v="T6-A1-07"/>
  </r>
  <r>
    <x v="0"/>
    <x v="3"/>
    <x v="0"/>
    <s v="08"/>
    <n v="1"/>
    <s v="T6-A1-08"/>
  </r>
  <r>
    <x v="0"/>
    <x v="3"/>
    <x v="0"/>
    <s v="01"/>
    <n v="2"/>
    <s v="T6-A2-01"/>
  </r>
  <r>
    <x v="0"/>
    <x v="3"/>
    <x v="0"/>
    <s v="02"/>
    <n v="2"/>
    <s v="T6-A2-02"/>
  </r>
  <r>
    <x v="0"/>
    <x v="3"/>
    <x v="0"/>
    <s v="03"/>
    <n v="2"/>
    <s v="T6-A2-03"/>
  </r>
  <r>
    <x v="0"/>
    <x v="3"/>
    <x v="0"/>
    <s v="04"/>
    <n v="2"/>
    <s v="T6-A2-04"/>
  </r>
  <r>
    <x v="0"/>
    <x v="3"/>
    <x v="0"/>
    <s v="05"/>
    <n v="2"/>
    <s v="T6-A2-05"/>
  </r>
  <r>
    <x v="0"/>
    <x v="3"/>
    <x v="0"/>
    <s v="06"/>
    <n v="2"/>
    <s v="T6-A2-06"/>
  </r>
  <r>
    <x v="0"/>
    <x v="3"/>
    <x v="0"/>
    <s v="07"/>
    <n v="2"/>
    <s v="T6-A2-07"/>
  </r>
  <r>
    <x v="0"/>
    <x v="3"/>
    <x v="0"/>
    <s v="08"/>
    <n v="2"/>
    <s v="T6-A2-08"/>
  </r>
  <r>
    <x v="0"/>
    <x v="3"/>
    <x v="0"/>
    <s v="01"/>
    <n v="3"/>
    <s v="T6-A3-01"/>
  </r>
  <r>
    <x v="0"/>
    <x v="3"/>
    <x v="0"/>
    <s v="02"/>
    <n v="3"/>
    <s v="T6-A3-02"/>
  </r>
  <r>
    <x v="0"/>
    <x v="3"/>
    <x v="0"/>
    <s v="03"/>
    <n v="3"/>
    <s v="T6-A3-03"/>
  </r>
  <r>
    <x v="0"/>
    <x v="3"/>
    <x v="0"/>
    <s v="04"/>
    <n v="3"/>
    <s v="T6-A3-04"/>
  </r>
  <r>
    <x v="0"/>
    <x v="3"/>
    <x v="0"/>
    <s v="05"/>
    <n v="3"/>
    <s v="T6-A3-05"/>
  </r>
  <r>
    <x v="0"/>
    <x v="3"/>
    <x v="0"/>
    <s v="06"/>
    <n v="3"/>
    <s v="T6-A3-06"/>
  </r>
  <r>
    <x v="0"/>
    <x v="3"/>
    <x v="0"/>
    <s v="07"/>
    <n v="3"/>
    <s v="T6-A3-07"/>
  </r>
  <r>
    <x v="0"/>
    <x v="3"/>
    <x v="0"/>
    <s v="08"/>
    <n v="3"/>
    <s v="T6-A3-08"/>
  </r>
  <r>
    <x v="0"/>
    <x v="3"/>
    <x v="0"/>
    <s v="03"/>
    <s v="M"/>
    <s v="T6-AM-03"/>
  </r>
  <r>
    <x v="0"/>
    <x v="3"/>
    <x v="0"/>
    <s v="01"/>
    <n v="4"/>
    <s v="T6-A4-01"/>
  </r>
  <r>
    <x v="0"/>
    <x v="3"/>
    <x v="0"/>
    <s v="02"/>
    <n v="4"/>
    <s v="T6-A4-02"/>
  </r>
  <r>
    <x v="0"/>
    <x v="3"/>
    <x v="0"/>
    <s v="03"/>
    <n v="4"/>
    <s v="T6-A4-03"/>
  </r>
  <r>
    <x v="0"/>
    <x v="3"/>
    <x v="0"/>
    <s v="04"/>
    <n v="4"/>
    <s v="T6-A4-04"/>
  </r>
  <r>
    <x v="0"/>
    <x v="3"/>
    <x v="1"/>
    <s v="01"/>
    <n v="1"/>
    <s v="T6-B1-01"/>
  </r>
  <r>
    <x v="0"/>
    <x v="3"/>
    <x v="1"/>
    <s v="02"/>
    <n v="1"/>
    <s v="T6-B1-02"/>
  </r>
  <r>
    <x v="0"/>
    <x v="3"/>
    <x v="1"/>
    <s v="03"/>
    <n v="1"/>
    <s v="T6-B1-03"/>
  </r>
  <r>
    <x v="0"/>
    <x v="3"/>
    <x v="1"/>
    <s v="04"/>
    <n v="1"/>
    <s v="T6-B1-04"/>
  </r>
  <r>
    <x v="0"/>
    <x v="3"/>
    <x v="1"/>
    <s v="05"/>
    <n v="1"/>
    <s v="T6-B1-05"/>
  </r>
  <r>
    <x v="0"/>
    <x v="3"/>
    <x v="1"/>
    <s v="01"/>
    <n v="2"/>
    <s v="T6-B2-01"/>
  </r>
  <r>
    <x v="0"/>
    <x v="3"/>
    <x v="1"/>
    <s v="02"/>
    <n v="2"/>
    <s v="T6-B2-02"/>
  </r>
  <r>
    <x v="0"/>
    <x v="3"/>
    <x v="1"/>
    <s v="03"/>
    <n v="2"/>
    <s v="T6-B2-03"/>
  </r>
  <r>
    <x v="0"/>
    <x v="3"/>
    <x v="1"/>
    <s v="04"/>
    <n v="2"/>
    <s v="T6-B2-04"/>
  </r>
  <r>
    <x v="0"/>
    <x v="3"/>
    <x v="1"/>
    <s v="05"/>
    <n v="2"/>
    <s v="T6-B2-05"/>
  </r>
  <r>
    <x v="0"/>
    <x v="3"/>
    <x v="1"/>
    <s v="06"/>
    <n v="2"/>
    <s v="T6-B2-06"/>
  </r>
  <r>
    <x v="0"/>
    <x v="3"/>
    <x v="2"/>
    <s v="01"/>
    <n v="1"/>
    <s v="T6-C1-01"/>
  </r>
  <r>
    <x v="0"/>
    <x v="3"/>
    <x v="2"/>
    <s v="02"/>
    <n v="1"/>
    <s v="T6-C1-02"/>
  </r>
  <r>
    <x v="0"/>
    <x v="3"/>
    <x v="2"/>
    <s v="03"/>
    <n v="1"/>
    <s v="T6-C1-03"/>
  </r>
  <r>
    <x v="0"/>
    <x v="3"/>
    <x v="2"/>
    <s v="04"/>
    <n v="1"/>
    <s v="T6-C1-04"/>
  </r>
  <r>
    <x v="0"/>
    <x v="3"/>
    <x v="2"/>
    <s v="05"/>
    <n v="1"/>
    <s v="T6-C1-05"/>
  </r>
  <r>
    <x v="0"/>
    <x v="3"/>
    <x v="2"/>
    <s v="06"/>
    <n v="1"/>
    <s v="T6-C1-06"/>
  </r>
  <r>
    <x v="0"/>
    <x v="3"/>
    <x v="2"/>
    <s v="01"/>
    <n v="2"/>
    <s v="T6-C2-01"/>
  </r>
  <r>
    <x v="0"/>
    <x v="3"/>
    <x v="2"/>
    <s v="02"/>
    <n v="2"/>
    <s v="T6-C2-02"/>
  </r>
  <r>
    <x v="0"/>
    <x v="3"/>
    <x v="2"/>
    <s v="03"/>
    <n v="2"/>
    <s v="T6-C2-03"/>
  </r>
  <r>
    <x v="0"/>
    <x v="3"/>
    <x v="2"/>
    <s v="04"/>
    <n v="2"/>
    <s v="T6-C2-04"/>
  </r>
  <r>
    <x v="0"/>
    <x v="3"/>
    <x v="2"/>
    <s v="05"/>
    <n v="2"/>
    <s v="T6-C2-05"/>
  </r>
  <r>
    <x v="0"/>
    <x v="3"/>
    <x v="2"/>
    <s v="06"/>
    <n v="2"/>
    <s v="T6-C2-06"/>
  </r>
  <r>
    <x v="0"/>
    <x v="3"/>
    <x v="2"/>
    <s v="01"/>
    <n v="3"/>
    <s v="T6-C3-01"/>
  </r>
  <r>
    <x v="0"/>
    <x v="3"/>
    <x v="2"/>
    <s v="02"/>
    <n v="3"/>
    <s v="T6-C3-02"/>
  </r>
  <r>
    <x v="0"/>
    <x v="3"/>
    <x v="2"/>
    <s v="03"/>
    <n v="3"/>
    <s v="T6-C3-03"/>
  </r>
  <r>
    <x v="0"/>
    <x v="3"/>
    <x v="2"/>
    <s v="04"/>
    <n v="3"/>
    <s v="T6-C3-04"/>
  </r>
  <r>
    <x v="0"/>
    <x v="3"/>
    <x v="2"/>
    <s v="05"/>
    <n v="3"/>
    <s v="T6-C3-05"/>
  </r>
  <r>
    <x v="0"/>
    <x v="3"/>
    <x v="2"/>
    <s v="06"/>
    <n v="3"/>
    <s v="T6-C3-06"/>
  </r>
  <r>
    <x v="0"/>
    <x v="3"/>
    <x v="2"/>
    <s v="01"/>
    <n v="4"/>
    <s v="T6-C4-01"/>
  </r>
  <r>
    <x v="0"/>
    <x v="3"/>
    <x v="2"/>
    <s v="02"/>
    <n v="4"/>
    <s v="T6-C4-02"/>
  </r>
  <r>
    <x v="0"/>
    <x v="3"/>
    <x v="2"/>
    <s v="03"/>
    <n v="4"/>
    <s v="T6-C4-03"/>
  </r>
  <r>
    <x v="0"/>
    <x v="3"/>
    <x v="2"/>
    <s v="04"/>
    <n v="4"/>
    <s v="T6-C4-04"/>
  </r>
  <r>
    <x v="0"/>
    <x v="3"/>
    <x v="2"/>
    <s v="05"/>
    <n v="4"/>
    <s v="T6-C4-05"/>
  </r>
  <r>
    <x v="0"/>
    <x v="3"/>
    <x v="2"/>
    <s v="06"/>
    <n v="4"/>
    <s v="T6-C4-06"/>
  </r>
  <r>
    <x v="0"/>
    <x v="3"/>
    <x v="2"/>
    <s v="01"/>
    <n v="5"/>
    <s v="T6-C5-01"/>
  </r>
  <r>
    <x v="0"/>
    <x v="3"/>
    <x v="2"/>
    <s v="02"/>
    <n v="5"/>
    <s v="T6-C5-02"/>
  </r>
  <r>
    <x v="0"/>
    <x v="3"/>
    <x v="2"/>
    <s v="03"/>
    <n v="5"/>
    <s v="T6-C5-03"/>
  </r>
  <r>
    <x v="0"/>
    <x v="3"/>
    <x v="2"/>
    <s v="04"/>
    <n v="5"/>
    <s v="T6-C5-04"/>
  </r>
  <r>
    <x v="0"/>
    <x v="3"/>
    <x v="2"/>
    <s v="05"/>
    <n v="5"/>
    <s v="T6-C5-05"/>
  </r>
  <r>
    <x v="0"/>
    <x v="3"/>
    <x v="2"/>
    <s v="06"/>
    <n v="5"/>
    <s v="T6-C5-06"/>
  </r>
  <r>
    <x v="0"/>
    <x v="3"/>
    <x v="2"/>
    <s v="01"/>
    <n v="6"/>
    <s v="T6-C6-01"/>
  </r>
  <r>
    <x v="0"/>
    <x v="3"/>
    <x v="2"/>
    <s v="02"/>
    <n v="6"/>
    <s v="T6-C6-02"/>
  </r>
  <r>
    <x v="0"/>
    <x v="3"/>
    <x v="2"/>
    <s v="03"/>
    <n v="6"/>
    <s v="T6-C6-03"/>
  </r>
  <r>
    <x v="0"/>
    <x v="3"/>
    <x v="2"/>
    <s v="04"/>
    <n v="6"/>
    <s v="T6-C6-04"/>
  </r>
  <r>
    <x v="0"/>
    <x v="3"/>
    <x v="2"/>
    <s v="05"/>
    <n v="6"/>
    <s v="T6-C6-05"/>
  </r>
  <r>
    <x v="0"/>
    <x v="3"/>
    <x v="2"/>
    <s v="06"/>
    <n v="6"/>
    <s v="T6-C6-06"/>
  </r>
  <r>
    <x v="0"/>
    <x v="3"/>
    <x v="2"/>
    <s v="01"/>
    <s v="M"/>
    <s v="T6-CM-01"/>
  </r>
  <r>
    <x v="0"/>
    <x v="3"/>
    <x v="2"/>
    <s v="02"/>
    <s v="M"/>
    <s v="T6-CM-02"/>
  </r>
  <r>
    <x v="0"/>
    <x v="3"/>
    <x v="3"/>
    <s v="01"/>
    <n v="1"/>
    <s v="T6-D1-01"/>
  </r>
  <r>
    <x v="0"/>
    <x v="3"/>
    <x v="3"/>
    <s v="02"/>
    <n v="1"/>
    <s v="T6-D1-02"/>
  </r>
  <r>
    <x v="0"/>
    <x v="3"/>
    <x v="3"/>
    <s v="03"/>
    <n v="1"/>
    <s v="T6-D1-03"/>
  </r>
  <r>
    <x v="0"/>
    <x v="3"/>
    <x v="3"/>
    <s v="04"/>
    <n v="1"/>
    <s v="T6-D1-04"/>
  </r>
  <r>
    <x v="0"/>
    <x v="3"/>
    <x v="3"/>
    <s v="05"/>
    <n v="1"/>
    <s v="T6-D1-05"/>
  </r>
  <r>
    <x v="0"/>
    <x v="3"/>
    <x v="3"/>
    <s v="06"/>
    <n v="1"/>
    <s v="T6-D1-06"/>
  </r>
  <r>
    <x v="0"/>
    <x v="3"/>
    <x v="3"/>
    <s v="01"/>
    <n v="2"/>
    <s v="T6-D2-01"/>
  </r>
  <r>
    <x v="0"/>
    <x v="3"/>
    <x v="3"/>
    <s v="02"/>
    <n v="2"/>
    <s v="T6-D2-02"/>
  </r>
  <r>
    <x v="0"/>
    <x v="3"/>
    <x v="3"/>
    <s v="03"/>
    <n v="2"/>
    <s v="T6-D2-03"/>
  </r>
  <r>
    <x v="0"/>
    <x v="3"/>
    <x v="3"/>
    <s v="04"/>
    <n v="2"/>
    <s v="T6-D2-04"/>
  </r>
  <r>
    <x v="0"/>
    <x v="3"/>
    <x v="3"/>
    <s v="05"/>
    <n v="2"/>
    <s v="T6-D2-05"/>
  </r>
  <r>
    <x v="0"/>
    <x v="3"/>
    <x v="3"/>
    <s v="06"/>
    <n v="2"/>
    <s v="T6-D2-06"/>
  </r>
  <r>
    <x v="0"/>
    <x v="3"/>
    <x v="3"/>
    <s v="01"/>
    <n v="3"/>
    <s v="T6-D3-01"/>
  </r>
  <r>
    <x v="0"/>
    <x v="3"/>
    <x v="3"/>
    <s v="02"/>
    <n v="3"/>
    <s v="T6-D3-02"/>
  </r>
  <r>
    <x v="0"/>
    <x v="3"/>
    <x v="3"/>
    <s v="03"/>
    <n v="3"/>
    <s v="T6-D3-03"/>
  </r>
  <r>
    <x v="0"/>
    <x v="3"/>
    <x v="3"/>
    <s v="04"/>
    <n v="3"/>
    <s v="T6-D3-04"/>
  </r>
  <r>
    <x v="0"/>
    <x v="3"/>
    <x v="3"/>
    <s v="05"/>
    <n v="3"/>
    <s v="T6-D3-05"/>
  </r>
  <r>
    <x v="0"/>
    <x v="3"/>
    <x v="3"/>
    <s v="06"/>
    <n v="3"/>
    <s v="T6-D3-06"/>
  </r>
  <r>
    <x v="0"/>
    <x v="3"/>
    <x v="3"/>
    <s v="01"/>
    <n v="4"/>
    <s v="T6-D4-01"/>
  </r>
  <r>
    <x v="0"/>
    <x v="3"/>
    <x v="3"/>
    <s v="02"/>
    <n v="4"/>
    <s v="T6-D4-02"/>
  </r>
  <r>
    <x v="0"/>
    <x v="3"/>
    <x v="3"/>
    <s v="03"/>
    <n v="4"/>
    <s v="T6-D4-03"/>
  </r>
  <r>
    <x v="0"/>
    <x v="3"/>
    <x v="3"/>
    <s v="04"/>
    <n v="4"/>
    <s v="T6-D4-04"/>
  </r>
  <r>
    <x v="0"/>
    <x v="3"/>
    <x v="3"/>
    <s v="05"/>
    <n v="4"/>
    <s v="T6-D4-05"/>
  </r>
  <r>
    <x v="0"/>
    <x v="3"/>
    <x v="3"/>
    <s v="06"/>
    <n v="4"/>
    <s v="T6-D4-06"/>
  </r>
  <r>
    <x v="1"/>
    <x v="0"/>
    <x v="4"/>
    <s v="01"/>
    <n v="1"/>
    <s v="R3-E1-01"/>
  </r>
  <r>
    <x v="1"/>
    <x v="0"/>
    <x v="4"/>
    <s v="02"/>
    <n v="1"/>
    <s v="R3-E1-02"/>
  </r>
  <r>
    <x v="1"/>
    <x v="0"/>
    <x v="4"/>
    <s v="03"/>
    <n v="1"/>
    <s v="R3-E1-03"/>
  </r>
  <r>
    <x v="1"/>
    <x v="0"/>
    <x v="4"/>
    <s v="04"/>
    <n v="1"/>
    <s v="R3-E1-04"/>
  </r>
  <r>
    <x v="1"/>
    <x v="0"/>
    <x v="4"/>
    <s v="01"/>
    <n v="2"/>
    <s v="R3-E2-01"/>
  </r>
  <r>
    <x v="1"/>
    <x v="0"/>
    <x v="4"/>
    <s v="02"/>
    <n v="2"/>
    <s v="R3-E2-02"/>
  </r>
  <r>
    <x v="1"/>
    <x v="0"/>
    <x v="4"/>
    <s v="03"/>
    <n v="2"/>
    <s v="R3-E2-03"/>
  </r>
  <r>
    <x v="1"/>
    <x v="0"/>
    <x v="4"/>
    <s v="04"/>
    <n v="2"/>
    <s v="R3-E2-04"/>
  </r>
  <r>
    <x v="1"/>
    <x v="0"/>
    <x v="4"/>
    <s v="05"/>
    <n v="2"/>
    <s v="R3-E2-05"/>
  </r>
  <r>
    <x v="1"/>
    <x v="0"/>
    <x v="4"/>
    <s v="06"/>
    <n v="2"/>
    <s v="R3-E2-06"/>
  </r>
  <r>
    <x v="1"/>
    <x v="0"/>
    <x v="4"/>
    <s v="01"/>
    <n v="3"/>
    <s v="R3-E3-01"/>
  </r>
  <r>
    <x v="1"/>
    <x v="0"/>
    <x v="4"/>
    <s v="02"/>
    <n v="3"/>
    <s v="R3-E3-02"/>
  </r>
  <r>
    <x v="1"/>
    <x v="0"/>
    <x v="4"/>
    <s v="03"/>
    <n v="3"/>
    <s v="R3-E3-03"/>
  </r>
  <r>
    <x v="1"/>
    <x v="0"/>
    <x v="4"/>
    <s v="04"/>
    <n v="3"/>
    <s v="R3-E3-04"/>
  </r>
  <r>
    <x v="1"/>
    <x v="0"/>
    <x v="4"/>
    <s v="05"/>
    <n v="3"/>
    <s v="R3-E3-05"/>
  </r>
  <r>
    <x v="1"/>
    <x v="0"/>
    <x v="4"/>
    <s v="06"/>
    <n v="3"/>
    <s v="R3-E3-06"/>
  </r>
  <r>
    <x v="1"/>
    <x v="0"/>
    <x v="4"/>
    <s v="01"/>
    <n v="4"/>
    <s v="R3-E4-01"/>
  </r>
  <r>
    <x v="1"/>
    <x v="0"/>
    <x v="4"/>
    <s v="02"/>
    <n v="4"/>
    <s v="R3-E4-02"/>
  </r>
  <r>
    <x v="1"/>
    <x v="0"/>
    <x v="4"/>
    <s v="03"/>
    <n v="4"/>
    <s v="R3-E4-03"/>
  </r>
  <r>
    <x v="1"/>
    <x v="0"/>
    <x v="4"/>
    <s v="04"/>
    <n v="4"/>
    <s v="R3-E4-04"/>
  </r>
  <r>
    <x v="1"/>
    <x v="0"/>
    <x v="4"/>
    <s v="05"/>
    <n v="4"/>
    <s v="R3-E4-05"/>
  </r>
  <r>
    <x v="1"/>
    <x v="0"/>
    <x v="4"/>
    <s v="06"/>
    <n v="4"/>
    <s v="R3-E4-06"/>
  </r>
  <r>
    <x v="1"/>
    <x v="0"/>
    <x v="5"/>
    <s v="01"/>
    <n v="1"/>
    <s v="R3-F1-01"/>
  </r>
  <r>
    <x v="1"/>
    <x v="0"/>
    <x v="5"/>
    <s v="02"/>
    <n v="1"/>
    <s v="R3-F1-02"/>
  </r>
  <r>
    <x v="1"/>
    <x v="0"/>
    <x v="5"/>
    <s v="03"/>
    <n v="1"/>
    <s v="R3-F1-03"/>
  </r>
  <r>
    <x v="1"/>
    <x v="0"/>
    <x v="5"/>
    <s v="04"/>
    <n v="1"/>
    <s v="R3-F1-04"/>
  </r>
  <r>
    <x v="1"/>
    <x v="0"/>
    <x v="5"/>
    <s v="05"/>
    <n v="1"/>
    <s v="R3-F1-05"/>
  </r>
  <r>
    <x v="1"/>
    <x v="0"/>
    <x v="5"/>
    <s v="06"/>
    <n v="1"/>
    <s v="R3-F1-06"/>
  </r>
  <r>
    <x v="1"/>
    <x v="0"/>
    <x v="5"/>
    <s v="07"/>
    <n v="1"/>
    <s v="R3-F1-07"/>
  </r>
  <r>
    <x v="1"/>
    <x v="0"/>
    <x v="5"/>
    <s v="08"/>
    <n v="1"/>
    <s v="R3-F1-08"/>
  </r>
  <r>
    <x v="1"/>
    <x v="0"/>
    <x v="5"/>
    <s v="01"/>
    <n v="2"/>
    <s v="R3-F2-01"/>
  </r>
  <r>
    <x v="1"/>
    <x v="0"/>
    <x v="5"/>
    <s v="02"/>
    <n v="2"/>
    <s v="R3-F2-02"/>
  </r>
  <r>
    <x v="1"/>
    <x v="0"/>
    <x v="5"/>
    <s v="03"/>
    <n v="2"/>
    <s v="R3-F2-03"/>
  </r>
  <r>
    <x v="1"/>
    <x v="0"/>
    <x v="5"/>
    <s v="04"/>
    <n v="2"/>
    <s v="R3-F2-04"/>
  </r>
  <r>
    <x v="1"/>
    <x v="0"/>
    <x v="5"/>
    <s v="05"/>
    <n v="2"/>
    <s v="R3-F2-05"/>
  </r>
  <r>
    <x v="1"/>
    <x v="0"/>
    <x v="5"/>
    <s v="06"/>
    <n v="2"/>
    <s v="R3-F2-06"/>
  </r>
  <r>
    <x v="1"/>
    <x v="0"/>
    <x v="5"/>
    <s v="01"/>
    <n v="3"/>
    <s v="R3-F3-01"/>
  </r>
  <r>
    <x v="1"/>
    <x v="0"/>
    <x v="5"/>
    <s v="02"/>
    <n v="3"/>
    <s v="R3-F3-02"/>
  </r>
  <r>
    <x v="1"/>
    <x v="0"/>
    <x v="5"/>
    <s v="03"/>
    <n v="3"/>
    <s v="R3-F3-03"/>
  </r>
  <r>
    <x v="1"/>
    <x v="0"/>
    <x v="5"/>
    <s v="04"/>
    <n v="3"/>
    <s v="R3-F3-04"/>
  </r>
  <r>
    <x v="1"/>
    <x v="0"/>
    <x v="5"/>
    <s v="05"/>
    <n v="3"/>
    <s v="R3-F3-05"/>
  </r>
  <r>
    <x v="1"/>
    <x v="0"/>
    <x v="5"/>
    <s v="06"/>
    <n v="3"/>
    <s v="R3-F3-06"/>
  </r>
  <r>
    <x v="1"/>
    <x v="0"/>
    <x v="5"/>
    <s v="01"/>
    <n v="4"/>
    <s v="R3-F4-01"/>
  </r>
  <r>
    <x v="1"/>
    <x v="0"/>
    <x v="5"/>
    <s v="02"/>
    <n v="4"/>
    <s v="R3-F4-02"/>
  </r>
  <r>
    <x v="1"/>
    <x v="0"/>
    <x v="5"/>
    <s v="03"/>
    <n v="4"/>
    <s v="R3-F4-03"/>
  </r>
  <r>
    <x v="1"/>
    <x v="0"/>
    <x v="5"/>
    <s v="04"/>
    <n v="4"/>
    <s v="R3-F4-04"/>
  </r>
  <r>
    <x v="1"/>
    <x v="0"/>
    <x v="5"/>
    <s v="05"/>
    <n v="4"/>
    <s v="R3-F4-05"/>
  </r>
  <r>
    <x v="1"/>
    <x v="0"/>
    <x v="5"/>
    <s v="06"/>
    <n v="4"/>
    <s v="R3-F4-06"/>
  </r>
  <r>
    <x v="1"/>
    <x v="0"/>
    <x v="5"/>
    <s v="07"/>
    <n v="4"/>
    <s v="R3-F4-07"/>
  </r>
  <r>
    <x v="1"/>
    <x v="0"/>
    <x v="5"/>
    <s v="08"/>
    <n v="4"/>
    <s v="R3-F4-08"/>
  </r>
  <r>
    <x v="1"/>
    <x v="0"/>
    <x v="5"/>
    <s v="03"/>
    <s v="M"/>
    <s v="R3-FM-03"/>
  </r>
  <r>
    <x v="1"/>
    <x v="0"/>
    <x v="6"/>
    <s v="01"/>
    <n v="1"/>
    <s v="R3-G1-01"/>
  </r>
  <r>
    <x v="1"/>
    <x v="0"/>
    <x v="6"/>
    <s v="02"/>
    <n v="1"/>
    <s v="R3-G1-02"/>
  </r>
  <r>
    <x v="1"/>
    <x v="0"/>
    <x v="6"/>
    <s v="03"/>
    <n v="1"/>
    <s v="R3-G1-03"/>
  </r>
  <r>
    <x v="1"/>
    <x v="0"/>
    <x v="6"/>
    <s v="04"/>
    <n v="1"/>
    <s v="R3-G1-04"/>
  </r>
  <r>
    <x v="1"/>
    <x v="0"/>
    <x v="6"/>
    <s v="05"/>
    <n v="1"/>
    <s v="R3-G1-05"/>
  </r>
  <r>
    <x v="1"/>
    <x v="0"/>
    <x v="6"/>
    <s v="06"/>
    <n v="1"/>
    <s v="R3-G1-06"/>
  </r>
  <r>
    <x v="1"/>
    <x v="0"/>
    <x v="6"/>
    <s v="01"/>
    <n v="2"/>
    <s v="R3-G2-01"/>
  </r>
  <r>
    <x v="1"/>
    <x v="0"/>
    <x v="6"/>
    <s v="02"/>
    <n v="2"/>
    <s v="R3-G2-02"/>
  </r>
  <r>
    <x v="1"/>
    <x v="0"/>
    <x v="6"/>
    <s v="03"/>
    <n v="2"/>
    <s v="R3-G2-03"/>
  </r>
  <r>
    <x v="1"/>
    <x v="0"/>
    <x v="6"/>
    <s v="04"/>
    <n v="2"/>
    <s v="R3-G2-04"/>
  </r>
  <r>
    <x v="1"/>
    <x v="0"/>
    <x v="6"/>
    <s v="01"/>
    <n v="3"/>
    <s v="R3-G3-01"/>
  </r>
  <r>
    <x v="1"/>
    <x v="0"/>
    <x v="6"/>
    <s v="02"/>
    <n v="3"/>
    <s v="R3-G3-02"/>
  </r>
  <r>
    <x v="1"/>
    <x v="0"/>
    <x v="6"/>
    <s v="03"/>
    <n v="3"/>
    <s v="R3-G3-03"/>
  </r>
  <r>
    <x v="1"/>
    <x v="0"/>
    <x v="6"/>
    <s v="04"/>
    <n v="3"/>
    <s v="R3-G3-04"/>
  </r>
  <r>
    <x v="1"/>
    <x v="0"/>
    <x v="6"/>
    <s v="05"/>
    <n v="3"/>
    <s v="R3-G3-05"/>
  </r>
  <r>
    <x v="1"/>
    <x v="0"/>
    <x v="6"/>
    <s v="06"/>
    <n v="3"/>
    <s v="R3-G3-06"/>
  </r>
  <r>
    <x v="1"/>
    <x v="0"/>
    <x v="6"/>
    <s v="07"/>
    <n v="3"/>
    <s v="R3-G3-07"/>
  </r>
  <r>
    <x v="1"/>
    <x v="0"/>
    <x v="6"/>
    <s v="08"/>
    <n v="3"/>
    <s v="R3-G3-08"/>
  </r>
  <r>
    <x v="1"/>
    <x v="0"/>
    <x v="6"/>
    <s v="01"/>
    <n v="4"/>
    <s v="R3-G4-01"/>
  </r>
  <r>
    <x v="1"/>
    <x v="0"/>
    <x v="6"/>
    <s v="02"/>
    <n v="4"/>
    <s v="R3-G4-02"/>
  </r>
  <r>
    <x v="1"/>
    <x v="0"/>
    <x v="6"/>
    <s v="03"/>
    <n v="4"/>
    <s v="R3-G4-03"/>
  </r>
  <r>
    <x v="1"/>
    <x v="0"/>
    <x v="6"/>
    <s v="04"/>
    <n v="4"/>
    <s v="R3-G4-04"/>
  </r>
  <r>
    <x v="1"/>
    <x v="0"/>
    <x v="6"/>
    <s v="05"/>
    <n v="4"/>
    <s v="R3-G4-05"/>
  </r>
  <r>
    <x v="1"/>
    <x v="0"/>
    <x v="6"/>
    <s v="06"/>
    <n v="4"/>
    <s v="R3-G4-06"/>
  </r>
  <r>
    <x v="1"/>
    <x v="0"/>
    <x v="6"/>
    <s v="07"/>
    <n v="4"/>
    <s v="R3-G4-07"/>
  </r>
  <r>
    <x v="1"/>
    <x v="0"/>
    <x v="6"/>
    <s v="08"/>
    <n v="4"/>
    <s v="R3-G4-08"/>
  </r>
  <r>
    <x v="1"/>
    <x v="0"/>
    <x v="6"/>
    <s v="01"/>
    <s v="M"/>
    <s v="R3-GM-01"/>
  </r>
  <r>
    <x v="1"/>
    <x v="0"/>
    <x v="7"/>
    <s v="02"/>
    <s v="M"/>
    <s v="R3-HM-02"/>
  </r>
  <r>
    <x v="1"/>
    <x v="0"/>
    <x v="7"/>
    <s v="01"/>
    <n v="1"/>
    <s v="R3-H1-01"/>
  </r>
  <r>
    <x v="1"/>
    <x v="0"/>
    <x v="7"/>
    <s v="02"/>
    <n v="1"/>
    <s v="R3-H1-02"/>
  </r>
  <r>
    <x v="1"/>
    <x v="0"/>
    <x v="7"/>
    <s v="03"/>
    <n v="1"/>
    <s v="R3-H1-03"/>
  </r>
  <r>
    <x v="1"/>
    <x v="0"/>
    <x v="7"/>
    <s v="04"/>
    <n v="1"/>
    <s v="R3-H1-04"/>
  </r>
  <r>
    <x v="1"/>
    <x v="0"/>
    <x v="7"/>
    <s v="05"/>
    <n v="1"/>
    <s v="R3-H1-05"/>
  </r>
  <r>
    <x v="1"/>
    <x v="0"/>
    <x v="7"/>
    <s v="06"/>
    <n v="1"/>
    <s v="R3-H1-06"/>
  </r>
  <r>
    <x v="1"/>
    <x v="0"/>
    <x v="7"/>
    <s v="07"/>
    <n v="1"/>
    <s v="R3-H1-07"/>
  </r>
  <r>
    <x v="1"/>
    <x v="0"/>
    <x v="7"/>
    <s v="08"/>
    <n v="1"/>
    <s v="R3-H1-08"/>
  </r>
  <r>
    <x v="1"/>
    <x v="0"/>
    <x v="7"/>
    <s v="01"/>
    <n v="2"/>
    <s v="R3-H2-01"/>
  </r>
  <r>
    <x v="1"/>
    <x v="0"/>
    <x v="7"/>
    <s v="02"/>
    <n v="2"/>
    <s v="R3-H2-02"/>
  </r>
  <r>
    <x v="1"/>
    <x v="0"/>
    <x v="7"/>
    <s v="03"/>
    <n v="2"/>
    <s v="R3-H2-03"/>
  </r>
  <r>
    <x v="1"/>
    <x v="0"/>
    <x v="7"/>
    <s v="04"/>
    <n v="2"/>
    <s v="R3-H2-04"/>
  </r>
  <r>
    <x v="1"/>
    <x v="0"/>
    <x v="7"/>
    <s v="05"/>
    <n v="2"/>
    <s v="R3-H2-05"/>
  </r>
  <r>
    <x v="1"/>
    <x v="0"/>
    <x v="7"/>
    <s v="06"/>
    <n v="2"/>
    <s v="R3-H2-06"/>
  </r>
  <r>
    <x v="1"/>
    <x v="0"/>
    <x v="7"/>
    <s v="07"/>
    <n v="2"/>
    <s v="R3-H2-07"/>
  </r>
  <r>
    <x v="1"/>
    <x v="0"/>
    <x v="7"/>
    <s v="08"/>
    <n v="2"/>
    <s v="R3-H2-08"/>
  </r>
  <r>
    <x v="1"/>
    <x v="0"/>
    <x v="7"/>
    <s v="01"/>
    <n v="3"/>
    <s v="R3-H3-01"/>
  </r>
  <r>
    <x v="1"/>
    <x v="0"/>
    <x v="7"/>
    <s v="02"/>
    <n v="3"/>
    <s v="R3-H3-02"/>
  </r>
  <r>
    <x v="1"/>
    <x v="0"/>
    <x v="7"/>
    <s v="03"/>
    <n v="3"/>
    <s v="R3-H3-03"/>
  </r>
  <r>
    <x v="1"/>
    <x v="0"/>
    <x v="7"/>
    <s v="04"/>
    <n v="3"/>
    <s v="R3-H3-04"/>
  </r>
  <r>
    <x v="1"/>
    <x v="0"/>
    <x v="7"/>
    <s v="05"/>
    <n v="3"/>
    <s v="R3-H3-05"/>
  </r>
  <r>
    <x v="1"/>
    <x v="0"/>
    <x v="7"/>
    <s v="06"/>
    <n v="3"/>
    <s v="R3-H3-06"/>
  </r>
  <r>
    <x v="1"/>
    <x v="0"/>
    <x v="7"/>
    <s v="01"/>
    <n v="4"/>
    <s v="R3-H4-01"/>
  </r>
  <r>
    <x v="1"/>
    <x v="0"/>
    <x v="7"/>
    <s v="02"/>
    <n v="4"/>
    <s v="R3-H4-02"/>
  </r>
  <r>
    <x v="1"/>
    <x v="0"/>
    <x v="7"/>
    <s v="03"/>
    <n v="4"/>
    <s v="R3-H4-03"/>
  </r>
  <r>
    <x v="1"/>
    <x v="0"/>
    <x v="7"/>
    <s v="04"/>
    <n v="4"/>
    <s v="R3-H4-04"/>
  </r>
  <r>
    <x v="1"/>
    <x v="0"/>
    <x v="7"/>
    <s v="05"/>
    <n v="4"/>
    <s v="R3-H4-05"/>
  </r>
  <r>
    <x v="1"/>
    <x v="0"/>
    <x v="7"/>
    <s v="06"/>
    <n v="4"/>
    <s v="R3-H4-06"/>
  </r>
  <r>
    <x v="1"/>
    <x v="1"/>
    <x v="4"/>
    <s v="01"/>
    <n v="1"/>
    <s v="R4-E1-01"/>
  </r>
  <r>
    <x v="1"/>
    <x v="1"/>
    <x v="4"/>
    <s v="02"/>
    <n v="1"/>
    <s v="R4-E1-02"/>
  </r>
  <r>
    <x v="1"/>
    <x v="1"/>
    <x v="4"/>
    <s v="03"/>
    <n v="1"/>
    <s v="R4-E1-03"/>
  </r>
  <r>
    <x v="1"/>
    <x v="1"/>
    <x v="4"/>
    <s v="04"/>
    <n v="1"/>
    <s v="R4-E1-04"/>
  </r>
  <r>
    <x v="1"/>
    <x v="1"/>
    <x v="4"/>
    <s v="01"/>
    <n v="2"/>
    <s v="R4-E2-01"/>
  </r>
  <r>
    <x v="1"/>
    <x v="1"/>
    <x v="4"/>
    <s v="02"/>
    <n v="2"/>
    <s v="R4-E2-02"/>
  </r>
  <r>
    <x v="1"/>
    <x v="1"/>
    <x v="4"/>
    <s v="03"/>
    <n v="2"/>
    <s v="R4-E2-03"/>
  </r>
  <r>
    <x v="1"/>
    <x v="1"/>
    <x v="4"/>
    <s v="04"/>
    <n v="2"/>
    <s v="R4-E2-04"/>
  </r>
  <r>
    <x v="1"/>
    <x v="1"/>
    <x v="4"/>
    <s v="05"/>
    <n v="2"/>
    <s v="R4-E2-05"/>
  </r>
  <r>
    <x v="1"/>
    <x v="1"/>
    <x v="4"/>
    <s v="06"/>
    <n v="2"/>
    <s v="R4-E2-06"/>
  </r>
  <r>
    <x v="1"/>
    <x v="1"/>
    <x v="4"/>
    <s v="01"/>
    <n v="3"/>
    <s v="R4-E3-01"/>
  </r>
  <r>
    <x v="1"/>
    <x v="1"/>
    <x v="4"/>
    <s v="02"/>
    <n v="3"/>
    <s v="R4-E3-02"/>
  </r>
  <r>
    <x v="1"/>
    <x v="1"/>
    <x v="4"/>
    <s v="03"/>
    <n v="3"/>
    <s v="R4-E3-03"/>
  </r>
  <r>
    <x v="1"/>
    <x v="1"/>
    <x v="4"/>
    <s v="04"/>
    <n v="3"/>
    <s v="R4-E3-04"/>
  </r>
  <r>
    <x v="1"/>
    <x v="1"/>
    <x v="4"/>
    <s v="05"/>
    <n v="3"/>
    <s v="R4-E3-05"/>
  </r>
  <r>
    <x v="1"/>
    <x v="1"/>
    <x v="4"/>
    <s v="06"/>
    <n v="3"/>
    <s v="R4-E3-06"/>
  </r>
  <r>
    <x v="1"/>
    <x v="1"/>
    <x v="4"/>
    <s v="01"/>
    <n v="4"/>
    <s v="R4-E4-01"/>
  </r>
  <r>
    <x v="1"/>
    <x v="1"/>
    <x v="4"/>
    <s v="02"/>
    <n v="4"/>
    <s v="R4-E4-02"/>
  </r>
  <r>
    <x v="1"/>
    <x v="1"/>
    <x v="4"/>
    <s v="03"/>
    <n v="4"/>
    <s v="R4-E4-03"/>
  </r>
  <r>
    <x v="1"/>
    <x v="1"/>
    <x v="4"/>
    <s v="04"/>
    <n v="4"/>
    <s v="R4-E4-04"/>
  </r>
  <r>
    <x v="1"/>
    <x v="1"/>
    <x v="4"/>
    <s v="05"/>
    <n v="4"/>
    <s v="R4-E4-05"/>
  </r>
  <r>
    <x v="1"/>
    <x v="1"/>
    <x v="4"/>
    <s v="06"/>
    <n v="4"/>
    <s v="R4-E4-06"/>
  </r>
  <r>
    <x v="1"/>
    <x v="1"/>
    <x v="5"/>
    <s v="01"/>
    <n v="1"/>
    <s v="R4-F1-01"/>
  </r>
  <r>
    <x v="1"/>
    <x v="1"/>
    <x v="5"/>
    <s v="02"/>
    <n v="1"/>
    <s v="R4-F1-02"/>
  </r>
  <r>
    <x v="1"/>
    <x v="1"/>
    <x v="5"/>
    <s v="03"/>
    <n v="1"/>
    <s v="R4-F1-03"/>
  </r>
  <r>
    <x v="1"/>
    <x v="1"/>
    <x v="5"/>
    <s v="04"/>
    <n v="1"/>
    <s v="R4-F1-04"/>
  </r>
  <r>
    <x v="1"/>
    <x v="1"/>
    <x v="5"/>
    <s v="05"/>
    <n v="1"/>
    <s v="R4-F1-05"/>
  </r>
  <r>
    <x v="1"/>
    <x v="1"/>
    <x v="5"/>
    <s v="06"/>
    <n v="1"/>
    <s v="R4-F1-06"/>
  </r>
  <r>
    <x v="1"/>
    <x v="1"/>
    <x v="5"/>
    <s v="07"/>
    <n v="1"/>
    <s v="R4-F1-07"/>
  </r>
  <r>
    <x v="1"/>
    <x v="1"/>
    <x v="5"/>
    <s v="08"/>
    <n v="1"/>
    <s v="R4-F1-08"/>
  </r>
  <r>
    <x v="1"/>
    <x v="1"/>
    <x v="5"/>
    <s v="01"/>
    <n v="2"/>
    <s v="R4-F2-01"/>
  </r>
  <r>
    <x v="1"/>
    <x v="1"/>
    <x v="5"/>
    <s v="02"/>
    <n v="2"/>
    <s v="R4-F2-02"/>
  </r>
  <r>
    <x v="1"/>
    <x v="1"/>
    <x v="5"/>
    <s v="03"/>
    <n v="2"/>
    <s v="R4-F2-03"/>
  </r>
  <r>
    <x v="1"/>
    <x v="1"/>
    <x v="5"/>
    <s v="04"/>
    <n v="2"/>
    <s v="R4-F2-04"/>
  </r>
  <r>
    <x v="1"/>
    <x v="1"/>
    <x v="5"/>
    <s v="05"/>
    <n v="2"/>
    <s v="R4-F2-05"/>
  </r>
  <r>
    <x v="1"/>
    <x v="1"/>
    <x v="5"/>
    <s v="06"/>
    <n v="2"/>
    <s v="R4-F2-06"/>
  </r>
  <r>
    <x v="1"/>
    <x v="1"/>
    <x v="5"/>
    <s v="01"/>
    <n v="3"/>
    <s v="R4-F3-01"/>
  </r>
  <r>
    <x v="1"/>
    <x v="1"/>
    <x v="5"/>
    <s v="02"/>
    <n v="3"/>
    <s v="R4-F3-02"/>
  </r>
  <r>
    <x v="1"/>
    <x v="1"/>
    <x v="5"/>
    <s v="03"/>
    <n v="3"/>
    <s v="R4-F3-03"/>
  </r>
  <r>
    <x v="1"/>
    <x v="1"/>
    <x v="5"/>
    <s v="04"/>
    <n v="3"/>
    <s v="R4-F3-04"/>
  </r>
  <r>
    <x v="1"/>
    <x v="1"/>
    <x v="5"/>
    <s v="05"/>
    <n v="3"/>
    <s v="R4-F3-05"/>
  </r>
  <r>
    <x v="1"/>
    <x v="1"/>
    <x v="5"/>
    <s v="06"/>
    <n v="3"/>
    <s v="R4-F3-06"/>
  </r>
  <r>
    <x v="1"/>
    <x v="1"/>
    <x v="5"/>
    <s v="01"/>
    <n v="4"/>
    <s v="R4-F4-01"/>
  </r>
  <r>
    <x v="1"/>
    <x v="1"/>
    <x v="5"/>
    <s v="02"/>
    <n v="4"/>
    <s v="R4-F4-02"/>
  </r>
  <r>
    <x v="1"/>
    <x v="1"/>
    <x v="5"/>
    <s v="03"/>
    <n v="4"/>
    <s v="R4-F4-03"/>
  </r>
  <r>
    <x v="1"/>
    <x v="1"/>
    <x v="5"/>
    <s v="04"/>
    <n v="4"/>
    <s v="R4-F4-04"/>
  </r>
  <r>
    <x v="1"/>
    <x v="1"/>
    <x v="5"/>
    <s v="05"/>
    <n v="4"/>
    <s v="R4-F4-05"/>
  </r>
  <r>
    <x v="1"/>
    <x v="1"/>
    <x v="5"/>
    <s v="06"/>
    <n v="4"/>
    <s v="R4-F4-06"/>
  </r>
  <r>
    <x v="1"/>
    <x v="1"/>
    <x v="5"/>
    <s v="07"/>
    <n v="4"/>
    <s v="R4-F4-07"/>
  </r>
  <r>
    <x v="1"/>
    <x v="1"/>
    <x v="5"/>
    <s v="08"/>
    <n v="4"/>
    <s v="R4-F4-08"/>
  </r>
  <r>
    <x v="1"/>
    <x v="1"/>
    <x v="5"/>
    <s v="03"/>
    <s v="M"/>
    <s v="R4-FM-03"/>
  </r>
  <r>
    <x v="1"/>
    <x v="1"/>
    <x v="6"/>
    <s v="01"/>
    <n v="1"/>
    <s v="R4-G1-01"/>
  </r>
  <r>
    <x v="1"/>
    <x v="1"/>
    <x v="6"/>
    <s v="02"/>
    <n v="1"/>
    <s v="R4-G1-02"/>
  </r>
  <r>
    <x v="1"/>
    <x v="1"/>
    <x v="6"/>
    <s v="03"/>
    <n v="1"/>
    <s v="R4-G1-03"/>
  </r>
  <r>
    <x v="1"/>
    <x v="1"/>
    <x v="6"/>
    <s v="04"/>
    <n v="1"/>
    <s v="R4-G1-04"/>
  </r>
  <r>
    <x v="1"/>
    <x v="1"/>
    <x v="6"/>
    <s v="05"/>
    <n v="1"/>
    <s v="R4-G1-05"/>
  </r>
  <r>
    <x v="1"/>
    <x v="1"/>
    <x v="6"/>
    <s v="06"/>
    <n v="1"/>
    <s v="R4-G1-06"/>
  </r>
  <r>
    <x v="1"/>
    <x v="1"/>
    <x v="6"/>
    <s v="01"/>
    <n v="2"/>
    <s v="R4-G2-01"/>
  </r>
  <r>
    <x v="1"/>
    <x v="1"/>
    <x v="6"/>
    <s v="02"/>
    <n v="2"/>
    <s v="R4-G2-02"/>
  </r>
  <r>
    <x v="1"/>
    <x v="1"/>
    <x v="6"/>
    <s v="03"/>
    <n v="2"/>
    <s v="R4-G2-03"/>
  </r>
  <r>
    <x v="1"/>
    <x v="1"/>
    <x v="6"/>
    <s v="04"/>
    <n v="2"/>
    <s v="R4-G2-04"/>
  </r>
  <r>
    <x v="1"/>
    <x v="1"/>
    <x v="6"/>
    <s v="01"/>
    <n v="3"/>
    <s v="R4-G3-01"/>
  </r>
  <r>
    <x v="1"/>
    <x v="1"/>
    <x v="6"/>
    <s v="02"/>
    <n v="3"/>
    <s v="R4-G3-02"/>
  </r>
  <r>
    <x v="1"/>
    <x v="1"/>
    <x v="6"/>
    <s v="03"/>
    <n v="3"/>
    <s v="R4-G3-03"/>
  </r>
  <r>
    <x v="1"/>
    <x v="1"/>
    <x v="6"/>
    <s v="04"/>
    <n v="3"/>
    <s v="R4-G3-04"/>
  </r>
  <r>
    <x v="1"/>
    <x v="1"/>
    <x v="6"/>
    <s v="05"/>
    <n v="3"/>
    <s v="R4-G3-05"/>
  </r>
  <r>
    <x v="1"/>
    <x v="1"/>
    <x v="6"/>
    <s v="06"/>
    <n v="3"/>
    <s v="R4-G3-06"/>
  </r>
  <r>
    <x v="1"/>
    <x v="1"/>
    <x v="6"/>
    <s v="07"/>
    <n v="3"/>
    <s v="R4-G3-07"/>
  </r>
  <r>
    <x v="1"/>
    <x v="1"/>
    <x v="6"/>
    <s v="08"/>
    <n v="3"/>
    <s v="R4-G3-08"/>
  </r>
  <r>
    <x v="1"/>
    <x v="1"/>
    <x v="6"/>
    <s v="01"/>
    <n v="4"/>
    <s v="R4-G4-01"/>
  </r>
  <r>
    <x v="1"/>
    <x v="1"/>
    <x v="6"/>
    <s v="02"/>
    <n v="4"/>
    <s v="R4-G4-02"/>
  </r>
  <r>
    <x v="1"/>
    <x v="1"/>
    <x v="6"/>
    <s v="03"/>
    <n v="4"/>
    <s v="R4-G4-03"/>
  </r>
  <r>
    <x v="1"/>
    <x v="1"/>
    <x v="6"/>
    <s v="04"/>
    <n v="4"/>
    <s v="R4-G4-04"/>
  </r>
  <r>
    <x v="1"/>
    <x v="1"/>
    <x v="6"/>
    <s v="05"/>
    <n v="4"/>
    <s v="R4-G4-05"/>
  </r>
  <r>
    <x v="1"/>
    <x v="1"/>
    <x v="6"/>
    <s v="06"/>
    <n v="4"/>
    <s v="R4-G4-06"/>
  </r>
  <r>
    <x v="1"/>
    <x v="1"/>
    <x v="6"/>
    <s v="07"/>
    <n v="4"/>
    <s v="R4-G4-07"/>
  </r>
  <r>
    <x v="1"/>
    <x v="1"/>
    <x v="6"/>
    <s v="08"/>
    <n v="4"/>
    <s v="R4-G4-08"/>
  </r>
  <r>
    <x v="1"/>
    <x v="1"/>
    <x v="6"/>
    <s v="01"/>
    <s v="M"/>
    <s v="R4-GM-01"/>
  </r>
  <r>
    <x v="1"/>
    <x v="1"/>
    <x v="7"/>
    <s v="02"/>
    <s v="M"/>
    <s v="R4-HM-02"/>
  </r>
  <r>
    <x v="1"/>
    <x v="1"/>
    <x v="7"/>
    <s v="01"/>
    <n v="1"/>
    <s v="R4-H1-01"/>
  </r>
  <r>
    <x v="1"/>
    <x v="1"/>
    <x v="7"/>
    <s v="02"/>
    <n v="1"/>
    <s v="R4-H1-02"/>
  </r>
  <r>
    <x v="1"/>
    <x v="1"/>
    <x v="7"/>
    <s v="03"/>
    <n v="1"/>
    <s v="R4-H1-03"/>
  </r>
  <r>
    <x v="1"/>
    <x v="1"/>
    <x v="7"/>
    <s v="04"/>
    <n v="1"/>
    <s v="R4-H1-04"/>
  </r>
  <r>
    <x v="1"/>
    <x v="1"/>
    <x v="7"/>
    <s v="05"/>
    <n v="1"/>
    <s v="R4-H1-05"/>
  </r>
  <r>
    <x v="1"/>
    <x v="1"/>
    <x v="7"/>
    <s v="06"/>
    <n v="1"/>
    <s v="R4-H1-06"/>
  </r>
  <r>
    <x v="1"/>
    <x v="1"/>
    <x v="7"/>
    <s v="07"/>
    <n v="1"/>
    <s v="R4-H1-07"/>
  </r>
  <r>
    <x v="1"/>
    <x v="1"/>
    <x v="7"/>
    <s v="08"/>
    <n v="1"/>
    <s v="R4-H1-08"/>
  </r>
  <r>
    <x v="1"/>
    <x v="1"/>
    <x v="7"/>
    <s v="01"/>
    <n v="2"/>
    <s v="R4-H2-01"/>
  </r>
  <r>
    <x v="1"/>
    <x v="1"/>
    <x v="7"/>
    <s v="02"/>
    <n v="2"/>
    <s v="R4-H2-02"/>
  </r>
  <r>
    <x v="1"/>
    <x v="1"/>
    <x v="7"/>
    <s v="03"/>
    <n v="2"/>
    <s v="R4-H2-03"/>
  </r>
  <r>
    <x v="1"/>
    <x v="1"/>
    <x v="7"/>
    <s v="04"/>
    <n v="2"/>
    <s v="R4-H2-04"/>
  </r>
  <r>
    <x v="1"/>
    <x v="1"/>
    <x v="7"/>
    <s v="05"/>
    <n v="2"/>
    <s v="R4-H2-05"/>
  </r>
  <r>
    <x v="1"/>
    <x v="1"/>
    <x v="7"/>
    <s v="06"/>
    <n v="2"/>
    <s v="R4-H2-06"/>
  </r>
  <r>
    <x v="1"/>
    <x v="1"/>
    <x v="7"/>
    <s v="07"/>
    <n v="2"/>
    <s v="R4-H2-07"/>
  </r>
  <r>
    <x v="1"/>
    <x v="1"/>
    <x v="7"/>
    <s v="08"/>
    <n v="2"/>
    <s v="R4-H2-08"/>
  </r>
  <r>
    <x v="1"/>
    <x v="1"/>
    <x v="7"/>
    <s v="01"/>
    <n v="3"/>
    <s v="R4-H3-01"/>
  </r>
  <r>
    <x v="1"/>
    <x v="1"/>
    <x v="7"/>
    <s v="02"/>
    <n v="3"/>
    <s v="R4-H3-02"/>
  </r>
  <r>
    <x v="1"/>
    <x v="1"/>
    <x v="7"/>
    <s v="03"/>
    <n v="3"/>
    <s v="R4-H3-03"/>
  </r>
  <r>
    <x v="1"/>
    <x v="1"/>
    <x v="7"/>
    <s v="04"/>
    <n v="3"/>
    <s v="R4-H3-04"/>
  </r>
  <r>
    <x v="1"/>
    <x v="1"/>
    <x v="7"/>
    <s v="05"/>
    <n v="3"/>
    <s v="R4-H3-05"/>
  </r>
  <r>
    <x v="1"/>
    <x v="1"/>
    <x v="7"/>
    <s v="06"/>
    <n v="3"/>
    <s v="R4-H3-06"/>
  </r>
  <r>
    <x v="1"/>
    <x v="1"/>
    <x v="7"/>
    <s v="01"/>
    <n v="4"/>
    <s v="R4-H4-01"/>
  </r>
  <r>
    <x v="1"/>
    <x v="1"/>
    <x v="7"/>
    <s v="02"/>
    <n v="4"/>
    <s v="R4-H4-02"/>
  </r>
  <r>
    <x v="1"/>
    <x v="1"/>
    <x v="7"/>
    <s v="03"/>
    <n v="4"/>
    <s v="R4-H4-03"/>
  </r>
  <r>
    <x v="1"/>
    <x v="1"/>
    <x v="7"/>
    <s v="04"/>
    <n v="4"/>
    <s v="R4-H4-04"/>
  </r>
  <r>
    <x v="1"/>
    <x v="1"/>
    <x v="7"/>
    <s v="05"/>
    <n v="4"/>
    <s v="R4-H4-05"/>
  </r>
  <r>
    <x v="1"/>
    <x v="1"/>
    <x v="7"/>
    <s v="06"/>
    <n v="4"/>
    <s v="R4-H4-06"/>
  </r>
  <r>
    <x v="1"/>
    <x v="2"/>
    <x v="4"/>
    <s v="01"/>
    <n v="1"/>
    <s v="R5-E1-01"/>
  </r>
  <r>
    <x v="1"/>
    <x v="2"/>
    <x v="4"/>
    <s v="02"/>
    <n v="1"/>
    <s v="R5-E1-02"/>
  </r>
  <r>
    <x v="1"/>
    <x v="2"/>
    <x v="4"/>
    <s v="03"/>
    <n v="1"/>
    <s v="R5-E1-03"/>
  </r>
  <r>
    <x v="1"/>
    <x v="2"/>
    <x v="4"/>
    <s v="04"/>
    <n v="1"/>
    <s v="R5-E1-04"/>
  </r>
  <r>
    <x v="1"/>
    <x v="2"/>
    <x v="4"/>
    <s v="01"/>
    <n v="2"/>
    <s v="R5-E2-01"/>
  </r>
  <r>
    <x v="1"/>
    <x v="2"/>
    <x v="4"/>
    <s v="02"/>
    <n v="2"/>
    <s v="R5-E2-02"/>
  </r>
  <r>
    <x v="1"/>
    <x v="2"/>
    <x v="4"/>
    <s v="03"/>
    <n v="2"/>
    <s v="R5-E2-03"/>
  </r>
  <r>
    <x v="1"/>
    <x v="2"/>
    <x v="4"/>
    <s v="04"/>
    <n v="2"/>
    <s v="R5-E2-04"/>
  </r>
  <r>
    <x v="1"/>
    <x v="2"/>
    <x v="4"/>
    <s v="05"/>
    <n v="2"/>
    <s v="R5-E2-05"/>
  </r>
  <r>
    <x v="1"/>
    <x v="2"/>
    <x v="4"/>
    <s v="06"/>
    <n v="2"/>
    <s v="R5-E2-06"/>
  </r>
  <r>
    <x v="1"/>
    <x v="2"/>
    <x v="4"/>
    <s v="01"/>
    <n v="3"/>
    <s v="R5-E3-01"/>
  </r>
  <r>
    <x v="1"/>
    <x v="2"/>
    <x v="4"/>
    <s v="02"/>
    <n v="3"/>
    <s v="R5-E3-02"/>
  </r>
  <r>
    <x v="1"/>
    <x v="2"/>
    <x v="4"/>
    <s v="03"/>
    <n v="3"/>
    <s v="R5-E3-03"/>
  </r>
  <r>
    <x v="1"/>
    <x v="2"/>
    <x v="4"/>
    <s v="04"/>
    <n v="3"/>
    <s v="R5-E3-04"/>
  </r>
  <r>
    <x v="1"/>
    <x v="2"/>
    <x v="4"/>
    <s v="05"/>
    <n v="3"/>
    <s v="R5-E3-05"/>
  </r>
  <r>
    <x v="1"/>
    <x v="2"/>
    <x v="4"/>
    <s v="06"/>
    <n v="3"/>
    <s v="R5-E3-06"/>
  </r>
  <r>
    <x v="1"/>
    <x v="2"/>
    <x v="4"/>
    <s v="01"/>
    <n v="4"/>
    <s v="R5-E4-01"/>
  </r>
  <r>
    <x v="1"/>
    <x v="2"/>
    <x v="4"/>
    <s v="02"/>
    <n v="4"/>
    <s v="R5-E4-02"/>
  </r>
  <r>
    <x v="1"/>
    <x v="2"/>
    <x v="4"/>
    <s v="03"/>
    <n v="4"/>
    <s v="R5-E4-03"/>
  </r>
  <r>
    <x v="1"/>
    <x v="2"/>
    <x v="4"/>
    <s v="04"/>
    <n v="4"/>
    <s v="R5-E4-04"/>
  </r>
  <r>
    <x v="1"/>
    <x v="2"/>
    <x v="4"/>
    <s v="05"/>
    <n v="4"/>
    <s v="R5-E4-05"/>
  </r>
  <r>
    <x v="1"/>
    <x v="2"/>
    <x v="4"/>
    <s v="06"/>
    <n v="4"/>
    <s v="R5-E4-06"/>
  </r>
  <r>
    <x v="1"/>
    <x v="2"/>
    <x v="5"/>
    <s v="01"/>
    <n v="1"/>
    <s v="R5-F1-01"/>
  </r>
  <r>
    <x v="1"/>
    <x v="2"/>
    <x v="5"/>
    <s v="02"/>
    <n v="1"/>
    <s v="R5-F1-02"/>
  </r>
  <r>
    <x v="1"/>
    <x v="2"/>
    <x v="5"/>
    <s v="03"/>
    <n v="1"/>
    <s v="R5-F1-03"/>
  </r>
  <r>
    <x v="1"/>
    <x v="2"/>
    <x v="5"/>
    <s v="04"/>
    <n v="1"/>
    <s v="R5-F1-04"/>
  </r>
  <r>
    <x v="1"/>
    <x v="2"/>
    <x v="5"/>
    <s v="05"/>
    <n v="1"/>
    <s v="R5-F1-05"/>
  </r>
  <r>
    <x v="1"/>
    <x v="2"/>
    <x v="5"/>
    <s v="06"/>
    <n v="1"/>
    <s v="R5-F1-06"/>
  </r>
  <r>
    <x v="1"/>
    <x v="2"/>
    <x v="5"/>
    <s v="07"/>
    <n v="1"/>
    <s v="R5-F1-07"/>
  </r>
  <r>
    <x v="1"/>
    <x v="2"/>
    <x v="5"/>
    <s v="08"/>
    <n v="1"/>
    <s v="R5-F1-08"/>
  </r>
  <r>
    <x v="1"/>
    <x v="2"/>
    <x v="5"/>
    <s v="01"/>
    <n v="2"/>
    <s v="R5-F2-01"/>
  </r>
  <r>
    <x v="1"/>
    <x v="2"/>
    <x v="5"/>
    <s v="02"/>
    <n v="2"/>
    <s v="R5-F2-02"/>
  </r>
  <r>
    <x v="1"/>
    <x v="2"/>
    <x v="5"/>
    <s v="03"/>
    <n v="2"/>
    <s v="R5-F2-03"/>
  </r>
  <r>
    <x v="1"/>
    <x v="2"/>
    <x v="5"/>
    <s v="04"/>
    <n v="2"/>
    <s v="R5-F2-04"/>
  </r>
  <r>
    <x v="1"/>
    <x v="2"/>
    <x v="5"/>
    <s v="05"/>
    <n v="2"/>
    <s v="R5-F2-05"/>
  </r>
  <r>
    <x v="1"/>
    <x v="2"/>
    <x v="5"/>
    <s v="06"/>
    <n v="2"/>
    <s v="R5-F2-06"/>
  </r>
  <r>
    <x v="1"/>
    <x v="2"/>
    <x v="5"/>
    <s v="01"/>
    <n v="3"/>
    <s v="R5-F3-01"/>
  </r>
  <r>
    <x v="1"/>
    <x v="2"/>
    <x v="5"/>
    <s v="02"/>
    <n v="3"/>
    <s v="R5-F3-02"/>
  </r>
  <r>
    <x v="1"/>
    <x v="2"/>
    <x v="5"/>
    <s v="03"/>
    <n v="3"/>
    <s v="R5-F3-03"/>
  </r>
  <r>
    <x v="1"/>
    <x v="2"/>
    <x v="5"/>
    <s v="04"/>
    <n v="3"/>
    <s v="R5-F3-04"/>
  </r>
  <r>
    <x v="1"/>
    <x v="2"/>
    <x v="5"/>
    <s v="05"/>
    <n v="3"/>
    <s v="R5-F3-05"/>
  </r>
  <r>
    <x v="1"/>
    <x v="2"/>
    <x v="5"/>
    <s v="06"/>
    <n v="3"/>
    <s v="R5-F3-06"/>
  </r>
  <r>
    <x v="1"/>
    <x v="2"/>
    <x v="5"/>
    <s v="01"/>
    <n v="4"/>
    <s v="R5-F4-01"/>
  </r>
  <r>
    <x v="1"/>
    <x v="2"/>
    <x v="5"/>
    <s v="02"/>
    <n v="4"/>
    <s v="R5-F4-02"/>
  </r>
  <r>
    <x v="1"/>
    <x v="2"/>
    <x v="5"/>
    <s v="03"/>
    <n v="4"/>
    <s v="R5-F4-03"/>
  </r>
  <r>
    <x v="1"/>
    <x v="2"/>
    <x v="5"/>
    <s v="04"/>
    <n v="4"/>
    <s v="R5-F4-04"/>
  </r>
  <r>
    <x v="1"/>
    <x v="2"/>
    <x v="5"/>
    <s v="05"/>
    <n v="4"/>
    <s v="R5-F4-05"/>
  </r>
  <r>
    <x v="1"/>
    <x v="2"/>
    <x v="5"/>
    <s v="06"/>
    <n v="4"/>
    <s v="R5-F4-06"/>
  </r>
  <r>
    <x v="1"/>
    <x v="2"/>
    <x v="5"/>
    <s v="07"/>
    <n v="4"/>
    <s v="R5-F4-07"/>
  </r>
  <r>
    <x v="1"/>
    <x v="2"/>
    <x v="5"/>
    <s v="08"/>
    <n v="4"/>
    <s v="R5-F4-08"/>
  </r>
  <r>
    <x v="1"/>
    <x v="2"/>
    <x v="5"/>
    <s v="03"/>
    <s v="M"/>
    <s v="R5-FM-03"/>
  </r>
  <r>
    <x v="1"/>
    <x v="2"/>
    <x v="6"/>
    <s v="01"/>
    <n v="1"/>
    <s v="R5-G1-01"/>
  </r>
  <r>
    <x v="1"/>
    <x v="2"/>
    <x v="6"/>
    <s v="02"/>
    <n v="1"/>
    <s v="R5-G1-02"/>
  </r>
  <r>
    <x v="1"/>
    <x v="2"/>
    <x v="6"/>
    <s v="03"/>
    <n v="1"/>
    <s v="R5-G1-03"/>
  </r>
  <r>
    <x v="1"/>
    <x v="2"/>
    <x v="6"/>
    <s v="04"/>
    <n v="1"/>
    <s v="R5-G1-04"/>
  </r>
  <r>
    <x v="1"/>
    <x v="2"/>
    <x v="6"/>
    <s v="05"/>
    <n v="1"/>
    <s v="R5-G1-05"/>
  </r>
  <r>
    <x v="1"/>
    <x v="2"/>
    <x v="6"/>
    <s v="06"/>
    <n v="1"/>
    <s v="R5-G1-06"/>
  </r>
  <r>
    <x v="1"/>
    <x v="2"/>
    <x v="6"/>
    <s v="01"/>
    <n v="2"/>
    <s v="R5-G2-01"/>
  </r>
  <r>
    <x v="1"/>
    <x v="2"/>
    <x v="6"/>
    <s v="02"/>
    <n v="2"/>
    <s v="R5-G2-02"/>
  </r>
  <r>
    <x v="1"/>
    <x v="2"/>
    <x v="6"/>
    <s v="03"/>
    <n v="2"/>
    <s v="R5-G2-03"/>
  </r>
  <r>
    <x v="1"/>
    <x v="2"/>
    <x v="6"/>
    <s v="04"/>
    <n v="2"/>
    <s v="R5-G2-04"/>
  </r>
  <r>
    <x v="1"/>
    <x v="2"/>
    <x v="6"/>
    <s v="01"/>
    <n v="3"/>
    <s v="R5-G3-01"/>
  </r>
  <r>
    <x v="1"/>
    <x v="2"/>
    <x v="6"/>
    <s v="02"/>
    <n v="3"/>
    <s v="R5-G3-02"/>
  </r>
  <r>
    <x v="1"/>
    <x v="2"/>
    <x v="6"/>
    <s v="03"/>
    <n v="3"/>
    <s v="R5-G3-03"/>
  </r>
  <r>
    <x v="1"/>
    <x v="2"/>
    <x v="6"/>
    <s v="04"/>
    <n v="3"/>
    <s v="R5-G3-04"/>
  </r>
  <r>
    <x v="1"/>
    <x v="2"/>
    <x v="6"/>
    <s v="05"/>
    <n v="3"/>
    <s v="R5-G3-05"/>
  </r>
  <r>
    <x v="1"/>
    <x v="2"/>
    <x v="6"/>
    <s v="06"/>
    <n v="3"/>
    <s v="R5-G3-06"/>
  </r>
  <r>
    <x v="1"/>
    <x v="2"/>
    <x v="6"/>
    <s v="07"/>
    <n v="3"/>
    <s v="R5-G3-07"/>
  </r>
  <r>
    <x v="1"/>
    <x v="2"/>
    <x v="6"/>
    <s v="08"/>
    <n v="3"/>
    <s v="R5-G3-08"/>
  </r>
  <r>
    <x v="1"/>
    <x v="2"/>
    <x v="6"/>
    <s v="01"/>
    <n v="4"/>
    <s v="R5-G4-01"/>
  </r>
  <r>
    <x v="1"/>
    <x v="2"/>
    <x v="6"/>
    <s v="02"/>
    <n v="4"/>
    <s v="R5-G4-02"/>
  </r>
  <r>
    <x v="1"/>
    <x v="2"/>
    <x v="6"/>
    <s v="03"/>
    <n v="4"/>
    <s v="R5-G4-03"/>
  </r>
  <r>
    <x v="1"/>
    <x v="2"/>
    <x v="6"/>
    <s v="04"/>
    <n v="4"/>
    <s v="R5-G4-04"/>
  </r>
  <r>
    <x v="1"/>
    <x v="2"/>
    <x v="6"/>
    <s v="05"/>
    <n v="4"/>
    <s v="R5-G4-05"/>
  </r>
  <r>
    <x v="1"/>
    <x v="2"/>
    <x v="6"/>
    <s v="06"/>
    <n v="4"/>
    <s v="R5-G4-06"/>
  </r>
  <r>
    <x v="1"/>
    <x v="2"/>
    <x v="6"/>
    <s v="07"/>
    <n v="4"/>
    <s v="R5-G4-07"/>
  </r>
  <r>
    <x v="1"/>
    <x v="2"/>
    <x v="6"/>
    <s v="08"/>
    <n v="4"/>
    <s v="R5-G4-08"/>
  </r>
  <r>
    <x v="1"/>
    <x v="2"/>
    <x v="6"/>
    <s v="01"/>
    <s v="M"/>
    <s v="R5-GM-01"/>
  </r>
  <r>
    <x v="1"/>
    <x v="2"/>
    <x v="7"/>
    <s v="02"/>
    <s v="M"/>
    <s v="R5-HM-02"/>
  </r>
  <r>
    <x v="1"/>
    <x v="2"/>
    <x v="7"/>
    <s v="01"/>
    <n v="1"/>
    <s v="R5-H1-01"/>
  </r>
  <r>
    <x v="1"/>
    <x v="2"/>
    <x v="7"/>
    <s v="02"/>
    <n v="1"/>
    <s v="R5-H1-02"/>
  </r>
  <r>
    <x v="1"/>
    <x v="2"/>
    <x v="7"/>
    <s v="03"/>
    <n v="1"/>
    <s v="R5-H1-03"/>
  </r>
  <r>
    <x v="1"/>
    <x v="2"/>
    <x v="7"/>
    <s v="04"/>
    <n v="1"/>
    <s v="R5-H1-04"/>
  </r>
  <r>
    <x v="1"/>
    <x v="2"/>
    <x v="7"/>
    <s v="05"/>
    <n v="1"/>
    <s v="R5-H1-05"/>
  </r>
  <r>
    <x v="1"/>
    <x v="2"/>
    <x v="7"/>
    <s v="06"/>
    <n v="1"/>
    <s v="R5-H1-06"/>
  </r>
  <r>
    <x v="1"/>
    <x v="2"/>
    <x v="7"/>
    <s v="07"/>
    <n v="1"/>
    <s v="R5-H1-07"/>
  </r>
  <r>
    <x v="1"/>
    <x v="2"/>
    <x v="7"/>
    <s v="08"/>
    <n v="1"/>
    <s v="R5-H1-08"/>
  </r>
  <r>
    <x v="1"/>
    <x v="2"/>
    <x v="7"/>
    <s v="01"/>
    <n v="2"/>
    <s v="R5-H2-01"/>
  </r>
  <r>
    <x v="1"/>
    <x v="2"/>
    <x v="7"/>
    <s v="02"/>
    <n v="2"/>
    <s v="R5-H2-02"/>
  </r>
  <r>
    <x v="1"/>
    <x v="2"/>
    <x v="7"/>
    <s v="03"/>
    <n v="2"/>
    <s v="R5-H2-03"/>
  </r>
  <r>
    <x v="1"/>
    <x v="2"/>
    <x v="7"/>
    <s v="04"/>
    <n v="2"/>
    <s v="R5-H2-04"/>
  </r>
  <r>
    <x v="1"/>
    <x v="2"/>
    <x v="7"/>
    <s v="05"/>
    <n v="2"/>
    <s v="R5-H2-05"/>
  </r>
  <r>
    <x v="1"/>
    <x v="2"/>
    <x v="7"/>
    <s v="06"/>
    <n v="2"/>
    <s v="R5-H2-06"/>
  </r>
  <r>
    <x v="1"/>
    <x v="2"/>
    <x v="7"/>
    <s v="07"/>
    <n v="2"/>
    <s v="R5-H2-07"/>
  </r>
  <r>
    <x v="1"/>
    <x v="2"/>
    <x v="7"/>
    <s v="08"/>
    <n v="2"/>
    <s v="R5-H2-08"/>
  </r>
  <r>
    <x v="1"/>
    <x v="2"/>
    <x v="7"/>
    <s v="01"/>
    <n v="3"/>
    <s v="R5-H3-01"/>
  </r>
  <r>
    <x v="1"/>
    <x v="2"/>
    <x v="7"/>
    <s v="02"/>
    <n v="3"/>
    <s v="R5-H3-02"/>
  </r>
  <r>
    <x v="1"/>
    <x v="2"/>
    <x v="7"/>
    <s v="03"/>
    <n v="3"/>
    <s v="R5-H3-03"/>
  </r>
  <r>
    <x v="1"/>
    <x v="2"/>
    <x v="7"/>
    <s v="04"/>
    <n v="3"/>
    <s v="R5-H3-04"/>
  </r>
  <r>
    <x v="1"/>
    <x v="2"/>
    <x v="7"/>
    <s v="05"/>
    <n v="3"/>
    <s v="R5-H3-05"/>
  </r>
  <r>
    <x v="1"/>
    <x v="2"/>
    <x v="7"/>
    <s v="06"/>
    <n v="3"/>
    <s v="R5-H3-06"/>
  </r>
  <r>
    <x v="1"/>
    <x v="2"/>
    <x v="7"/>
    <s v="01"/>
    <n v="4"/>
    <s v="R5-H4-01"/>
  </r>
  <r>
    <x v="1"/>
    <x v="2"/>
    <x v="7"/>
    <s v="02"/>
    <n v="4"/>
    <s v="R5-H4-02"/>
  </r>
  <r>
    <x v="1"/>
    <x v="2"/>
    <x v="7"/>
    <s v="03"/>
    <n v="4"/>
    <s v="R5-H4-03"/>
  </r>
  <r>
    <x v="1"/>
    <x v="2"/>
    <x v="7"/>
    <s v="04"/>
    <n v="4"/>
    <s v="R5-H4-04"/>
  </r>
  <r>
    <x v="1"/>
    <x v="2"/>
    <x v="7"/>
    <s v="05"/>
    <n v="4"/>
    <s v="R5-H4-05"/>
  </r>
  <r>
    <x v="1"/>
    <x v="2"/>
    <x v="7"/>
    <s v="06"/>
    <n v="4"/>
    <s v="R5-H4-06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5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4" firstHeaderRow="1" firstDataRow="2" firstDataCol="1"/>
  <pivotFields count="6"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0"/>
    <field x="1"/>
  </rowFields>
  <rowItems count="10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0" i="0">
      <x v="1"/>
    </i>
    <i t="data" r="1" i="0">
      <x v="0"/>
    </i>
    <i t="data" r="1" i="0">
      <x v="1"/>
    </i>
    <i t="data" r="1" i="0">
      <x v="2"/>
    </i>
    <i t="grand" r="0" i="0">
      <x v="0"/>
    </i>
  </rowItems>
  <colFields count="1">
    <field x="2"/>
  </colFields>
  <col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unt of Desk number - Final" fld="5" subtotal="count" showDataAs="normal" baseField="0" baseItem="0"/>
  </dataFields>
  <formats count="1">
    <format action="formatting" dxfId="15">
      <pivotArea type="normal" dataOnly="0" labelOnly="1" outline="1" fieldPosition="0">
        <references count="1">
          <reference field="2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Tower%20%2D%203%2Epdf&amp;parent=%2Fsites%2FCLUManagers%2FShared%20Documents%2FDesk%5FAllocation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Tower%20%2D%204%5F5%2Epdf&amp;parent=%2Fsites%2FCLUManagers%2FShared%20Documents%2FDesk%5FAllocation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Tower%20%2D%204%5F5%2Epdf&amp;parent=%2Fsites%2FCLUManagers%2FShared%20Documents%2FDesk%5FAllocation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Tower%20%2D%206%2Epdf&amp;parent=%2Fsites%2FCLUManagers%2FShared%20Documents%2FDesk%5FAllocation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Riviera%20%2D%203%2Epdf&amp;parent=%2Fsites%2FCLUManagers%2FShared%20Documents%2FDesk%5FAllocation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Riviera%20%2D%204%5F5%2Epdf&amp;parent=%2Fsites%2FCLUManagers%2FShared%20Documents%2FDesk%5FAllocation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../Forms/AllItems.aspx?id=%2Fsites%2FCLUManagers%2FShared%20Documents%2FDesk%5FAllocation%2FRiviera%20%2D%204%5F5%2Epdf&amp;parent=%2Fsites%2FCLUManagers%2FShared%20Documents%2FDesk%5FAllocation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2"/>
  <sheetViews>
    <sheetView showGridLines="0" workbookViewId="0">
      <pane xSplit="3" ySplit="2" topLeftCell="D3" activePane="bottomRight" state="frozen"/>
      <selection pane="bottomRight" activeCell="M1" sqref="M1"/>
      <selection pane="bottomLeft" activeCell="A3" sqref="A3"/>
      <selection pane="topRight" activeCell="D1" sqref="D1"/>
    </sheetView>
  </sheetViews>
  <sheetFormatPr baseColWidth="8" defaultColWidth="8.85546875" defaultRowHeight="15"/>
  <cols>
    <col outlineLevel="1" width="12.140625" customWidth="1" style="1" min="2" max="2"/>
    <col outlineLevel="1" width="10.42578125" customWidth="1" style="1" min="3" max="3"/>
    <col outlineLevel="1" width="10.85546875" customWidth="1" style="1" min="4" max="4"/>
    <col outlineLevel="1" width="15.42578125" customWidth="1" min="5" max="8"/>
    <col width="8.42578125" customWidth="1" min="9" max="9"/>
    <col width="14.85546875" customWidth="1" min="10" max="12"/>
    <col width="16.28515625" customWidth="1" min="13" max="16"/>
  </cols>
  <sheetData>
    <row r="1" ht="24.75" customHeight="1"/>
    <row r="2" ht="31.5" customHeight="1">
      <c r="B2" s="43" t="inlineStr">
        <is>
          <t>Building</t>
        </is>
      </c>
      <c r="C2" s="43" t="inlineStr">
        <is>
          <t>Floor</t>
        </is>
      </c>
      <c r="D2" s="43" t="inlineStr">
        <is>
          <t>Area</t>
        </is>
      </c>
      <c r="E2" s="43" t="inlineStr">
        <is>
          <t>Allocated</t>
        </is>
      </c>
      <c r="F2" s="43" t="inlineStr">
        <is>
          <t>HW</t>
        </is>
      </c>
      <c r="G2" s="43" t="inlineStr">
        <is>
          <t>Available</t>
        </is>
      </c>
      <c r="H2" s="43" t="inlineStr">
        <is>
          <t>Total Desks with/ HW</t>
        </is>
      </c>
      <c r="J2" s="71" t="inlineStr">
        <is>
          <t>Building</t>
        </is>
      </c>
      <c r="K2" s="71" t="inlineStr">
        <is>
          <t>Floor</t>
        </is>
      </c>
      <c r="L2" s="71" t="inlineStr">
        <is>
          <t>Allocated</t>
        </is>
      </c>
      <c r="M2" s="71" t="inlineStr">
        <is>
          <t>HW</t>
        </is>
      </c>
      <c r="N2" s="71" t="inlineStr">
        <is>
          <t>Available</t>
        </is>
      </c>
      <c r="O2" s="79" t="inlineStr">
        <is>
          <t>Total Desks - w/o HW</t>
        </is>
      </c>
      <c r="P2" s="71" t="inlineStr">
        <is>
          <t xml:space="preserve">Total Desks - with/ HW </t>
        </is>
      </c>
    </row>
    <row r="3">
      <c r="B3" s="6" t="inlineStr">
        <is>
          <t>T</t>
        </is>
      </c>
      <c r="C3" s="6" t="n">
        <v>3</v>
      </c>
      <c r="D3" s="6" t="inlineStr">
        <is>
          <t>A</t>
        </is>
      </c>
      <c r="E3" s="49">
        <f>COUNTIFS(Tower_3!$J:$J,Summary!$E$2,Tower_3!$B:$B,Summary!$C3,Tower_3!$C:$C,Summary!$D3)</f>
        <v/>
      </c>
      <c r="F3" s="49">
        <f>COUNTIFS(Tower_3!$J:$J,Summary!$F$2,Tower_3!$B:$B,Summary!$C3,Tower_3!$C:$C,Summary!$D3)</f>
        <v/>
      </c>
      <c r="G3" s="49">
        <f>COUNTIFS(Tower_3!$J:$J,Summary!$G$2,Tower_3!$B:$B,Summary!$C3,Tower_3!$C:$C,Summary!$D3)</f>
        <v/>
      </c>
      <c r="H3" s="44">
        <f>SUM(E3:G3)</f>
        <v/>
      </c>
      <c r="J3" s="61" t="inlineStr">
        <is>
          <t>T</t>
        </is>
      </c>
      <c r="K3" s="61" t="n">
        <v>3</v>
      </c>
      <c r="L3" s="61">
        <f>SUMIFS(E:E,$B:$B,$J3,$C:$C,$K3)</f>
        <v/>
      </c>
      <c r="M3" s="61">
        <f>SUMIFS(F:F,$B:$B,$J3,$C:$C,$K3)</f>
        <v/>
      </c>
      <c r="N3" s="61">
        <f>SUMIFS(G:G,$B:$B,$J3,$C:$C,$K3)</f>
        <v/>
      </c>
      <c r="O3" s="61">
        <f>L3+N3</f>
        <v/>
      </c>
      <c r="P3" s="61">
        <f>SUM(L3:N3)</f>
        <v/>
      </c>
    </row>
    <row r="4">
      <c r="B4" s="6" t="inlineStr">
        <is>
          <t>T</t>
        </is>
      </c>
      <c r="C4" s="6" t="n">
        <v>3</v>
      </c>
      <c r="D4" s="6" t="inlineStr">
        <is>
          <t>B</t>
        </is>
      </c>
      <c r="E4" s="49">
        <f>COUNTIFS(Tower_3!$J:$J,Summary!$E$2,Tower_3!$B:$B,Summary!$C4,Tower_3!$C:$C,Summary!$D4)</f>
        <v/>
      </c>
      <c r="F4" s="49">
        <f>COUNTIFS(Tower_3!$J:$J,Summary!$F$2,Tower_3!$B:$B,Summary!$C4,Tower_3!$C:$C,Summary!$D4)</f>
        <v/>
      </c>
      <c r="G4" s="49">
        <f>COUNTIFS(Tower_3!$J:$J,Summary!$G$2,Tower_3!$B:$B,Summary!$C4,Tower_3!$C:$C,Summary!$D4)</f>
        <v/>
      </c>
      <c r="H4" s="44">
        <f>SUM(E4:G4)</f>
        <v/>
      </c>
      <c r="J4" s="61" t="inlineStr">
        <is>
          <t>T</t>
        </is>
      </c>
      <c r="K4" s="61" t="n">
        <v>4</v>
      </c>
      <c r="L4" s="61">
        <f>SUMIFS(E:E,$B:$B,$J4,$C:$C,$K4)</f>
        <v/>
      </c>
      <c r="M4" s="61">
        <f>SUMIFS(F:F,$B:$B,$J4,$C:$C,$K4)</f>
        <v/>
      </c>
      <c r="N4" s="61">
        <f>SUMIFS(G:G,$B:$B,$J4,$C:$C,$K4)</f>
        <v/>
      </c>
      <c r="O4" s="61">
        <f>L4+N4</f>
        <v/>
      </c>
      <c r="P4" s="61">
        <f>SUM(L4:N4)</f>
        <v/>
      </c>
    </row>
    <row r="5">
      <c r="B5" s="6" t="inlineStr">
        <is>
          <t>T</t>
        </is>
      </c>
      <c r="C5" s="6" t="n">
        <v>3</v>
      </c>
      <c r="D5" s="6" t="inlineStr">
        <is>
          <t>C</t>
        </is>
      </c>
      <c r="E5" s="49">
        <f>COUNTIFS(Tower_3!$J:$J,Summary!$E$2,Tower_3!$B:$B,Summary!$C5,Tower_3!$C:$C,Summary!$D5)</f>
        <v/>
      </c>
      <c r="F5" s="116">
        <f>COUNTIFS(Tower_3!$J:$J,Summary!$F$2,Tower_3!$B:$B,Summary!$C5,Tower_3!$C:$C,Summary!$D5)</f>
        <v/>
      </c>
      <c r="G5" s="49">
        <f>COUNTIFS(Tower_3!$J:$J,Summary!$G$2,Tower_3!$B:$B,Summary!$C5,Tower_3!$C:$C,Summary!$D5)</f>
        <v/>
      </c>
      <c r="H5" s="44">
        <f>SUM(E5:G5)</f>
        <v/>
      </c>
      <c r="J5" s="61" t="inlineStr">
        <is>
          <t>T</t>
        </is>
      </c>
      <c r="K5" s="61" t="n">
        <v>5</v>
      </c>
      <c r="L5" s="61">
        <f>SUMIFS(E:E,$B:$B,$J5,$C:$C,$K5)</f>
        <v/>
      </c>
      <c r="M5" s="61">
        <f>SUMIFS(F:F,$B:$B,$J5,$C:$C,$K5)</f>
        <v/>
      </c>
      <c r="N5" s="61">
        <f>SUMIFS(G:G,$B:$B,$J5,$C:$C,$K5)</f>
        <v/>
      </c>
      <c r="O5" s="61">
        <f>L5+N5</f>
        <v/>
      </c>
      <c r="P5" s="61">
        <f>SUM(L5:N5)</f>
        <v/>
      </c>
    </row>
    <row r="6">
      <c r="B6" s="6" t="inlineStr">
        <is>
          <t>T</t>
        </is>
      </c>
      <c r="C6" s="6" t="n">
        <v>3</v>
      </c>
      <c r="D6" s="6" t="inlineStr">
        <is>
          <t>D</t>
        </is>
      </c>
      <c r="E6" s="49">
        <f>COUNTIFS(Tower_3!$J:$J,Summary!$E$2,Tower_3!$B:$B,Summary!$C6,Tower_3!$C:$C,Summary!$D6)</f>
        <v/>
      </c>
      <c r="F6" s="49">
        <f>COUNTIFS(Tower_3!$J:$J,Summary!$F$2,Tower_3!$B:$B,Summary!$C6,Tower_3!$C:$C,Summary!$D6)</f>
        <v/>
      </c>
      <c r="G6" s="49">
        <f>COUNTIFS(Tower_3!$J:$J,Summary!$G$2,Tower_3!$B:$B,Summary!$C6,Tower_3!$C:$C,Summary!$D6)</f>
        <v/>
      </c>
      <c r="H6" s="44">
        <f>SUM(E6:G6)</f>
        <v/>
      </c>
      <c r="J6" s="61" t="inlineStr">
        <is>
          <t>T</t>
        </is>
      </c>
      <c r="K6" s="61" t="n">
        <v>6</v>
      </c>
      <c r="L6" s="61">
        <f>SUMIFS(E:E,$B:$B,$J6,$C:$C,$K6)</f>
        <v/>
      </c>
      <c r="M6" s="61">
        <f>SUMIFS(F:F,$B:$B,$J6,$C:$C,$K6)</f>
        <v/>
      </c>
      <c r="N6" s="61">
        <f>SUMIFS(G:G,$B:$B,$J6,$C:$C,$K6)</f>
        <v/>
      </c>
      <c r="O6" s="61">
        <f>L6+N6</f>
        <v/>
      </c>
      <c r="P6" s="61">
        <f>SUM(L6:N6)</f>
        <v/>
      </c>
    </row>
    <row r="7">
      <c r="B7" s="6" t="inlineStr">
        <is>
          <t>T</t>
        </is>
      </c>
      <c r="C7" s="6" t="n">
        <v>4</v>
      </c>
      <c r="D7" s="6" t="inlineStr">
        <is>
          <t>A</t>
        </is>
      </c>
      <c r="E7" s="49">
        <f>COUNTIFS(Tower_4!$J:$J,Summary!$E$2,Tower_4!$B:$B,Summary!$C7,Tower_4!$C:$C,Summary!$D7)</f>
        <v/>
      </c>
      <c r="F7" s="49">
        <f>COUNTIFS(Tower_4!$J:$J,Summary!$F$2,Tower_4!$B:$B,Summary!$C7,Tower_4!$C:$C,Summary!$D7)</f>
        <v/>
      </c>
      <c r="G7" s="49">
        <f>COUNTIFS(Tower_4!$J:$J,Summary!$G$2,Tower_4!$B:$B,Summary!$C7,Tower_4!$C:$C,Summary!$D7)</f>
        <v/>
      </c>
      <c r="H7" s="44">
        <f>SUM(E7:G7)</f>
        <v/>
      </c>
      <c r="J7" s="61" t="inlineStr">
        <is>
          <t>R</t>
        </is>
      </c>
      <c r="K7" s="61" t="n">
        <v>3</v>
      </c>
      <c r="L7" s="61">
        <f>SUMIFS(E:E,$B:$B,$J7,$C:$C,$K7)</f>
        <v/>
      </c>
      <c r="M7" s="61">
        <f>SUMIFS(F:F,$B:$B,$J7,$C:$C,$K7)</f>
        <v/>
      </c>
      <c r="N7" s="61">
        <f>SUMIFS(G:G,$B:$B,$J7,$C:$C,$K7)</f>
        <v/>
      </c>
      <c r="O7" s="61">
        <f>L7+N7</f>
        <v/>
      </c>
      <c r="P7" s="61">
        <f>SUM(L7:N7)</f>
        <v/>
      </c>
    </row>
    <row r="8">
      <c r="B8" s="6" t="inlineStr">
        <is>
          <t>T</t>
        </is>
      </c>
      <c r="C8" s="6" t="n">
        <v>4</v>
      </c>
      <c r="D8" s="6" t="inlineStr">
        <is>
          <t>B</t>
        </is>
      </c>
      <c r="E8" s="49">
        <f>COUNTIFS(Tower_4!$J:$J,Summary!$E$2,Tower_4!$B:$B,Summary!$C8,Tower_4!$C:$C,Summary!$D8)</f>
        <v/>
      </c>
      <c r="F8" s="49">
        <f>COUNTIFS(Tower_4!$J:$J,Summary!$F$2,Tower_4!$B:$B,Summary!$C8,Tower_4!$C:$C,Summary!$D8)</f>
        <v/>
      </c>
      <c r="G8" s="49">
        <f>COUNTIFS(Tower_3!$J:$J,Summary!$G$2,Tower_3!$B:$B,Summary!$C8,Tower_3!$C:$C,Summary!$D8)</f>
        <v/>
      </c>
      <c r="H8" s="44">
        <f>SUM(E8:G8)</f>
        <v/>
      </c>
      <c r="J8" s="73" t="inlineStr">
        <is>
          <t>R</t>
        </is>
      </c>
      <c r="K8" s="73" t="n">
        <v>4</v>
      </c>
      <c r="L8" s="73">
        <f>SUMIFS(E:E,$B:$B,$J8,$C:$C,$K8)</f>
        <v/>
      </c>
      <c r="M8" s="73">
        <f>SUMIFS(F:F,$B:$B,$J8,$C:$C,$K8)</f>
        <v/>
      </c>
      <c r="N8" s="73">
        <f>SUMIFS(G:G,$B:$B,$J8,$C:$C,$K8)</f>
        <v/>
      </c>
      <c r="O8" s="61">
        <f>L8+N8</f>
        <v/>
      </c>
      <c r="P8" s="73">
        <f>SUM(L8:N8)</f>
        <v/>
      </c>
    </row>
    <row r="9">
      <c r="B9" s="6" t="inlineStr">
        <is>
          <t>T</t>
        </is>
      </c>
      <c r="C9" s="6" t="n">
        <v>4</v>
      </c>
      <c r="D9" s="6" t="inlineStr">
        <is>
          <t>C</t>
        </is>
      </c>
      <c r="E9" s="49">
        <f>COUNTIFS(Tower_4!$J:$J,Summary!$E$2,Tower_4!$B:$B,Summary!$C9,Tower_4!$C:$C,Summary!$D9)</f>
        <v/>
      </c>
      <c r="F9" s="49">
        <f>COUNTIFS(Tower_4!$J:$J,Summary!$F$2,Tower_4!$B:$B,Summary!$C9,Tower_4!$C:$C,Summary!$D9)</f>
        <v/>
      </c>
      <c r="G9" s="49">
        <f>COUNTIFS(Tower_3!$J:$J,Summary!$G$2,Tower_3!$B:$B,Summary!$C9,Tower_3!$C:$C,Summary!$D9)</f>
        <v/>
      </c>
      <c r="H9" s="44">
        <f>SUM(E9:G9)</f>
        <v/>
      </c>
      <c r="J9" s="73" t="inlineStr">
        <is>
          <t>R</t>
        </is>
      </c>
      <c r="K9" s="73" t="n">
        <v>5</v>
      </c>
      <c r="L9" s="73">
        <f>SUMIFS(E:E,$B:$B,$J9,$C:$C,$K9)</f>
        <v/>
      </c>
      <c r="M9" s="73">
        <f>SUMIFS(F:F,$B:$B,$J9,$C:$C,$K9)</f>
        <v/>
      </c>
      <c r="N9" s="73">
        <f>SUMIFS(G:G,$B:$B,$J9,$C:$C,$K9)</f>
        <v/>
      </c>
      <c r="O9" s="61">
        <f>L9+N9</f>
        <v/>
      </c>
      <c r="P9" s="73">
        <f>SUM(L9:N9)</f>
        <v/>
      </c>
    </row>
    <row r="10">
      <c r="B10" s="6" t="inlineStr">
        <is>
          <t>T</t>
        </is>
      </c>
      <c r="C10" s="6" t="n">
        <v>4</v>
      </c>
      <c r="D10" s="6" t="inlineStr">
        <is>
          <t>D</t>
        </is>
      </c>
      <c r="E10" s="49">
        <f>COUNTIFS(Tower_4!$J:$J,Summary!$E$2,Tower_4!$B:$B,Summary!$C10,Tower_4!$C:$C,Summary!$D10)</f>
        <v/>
      </c>
      <c r="F10" s="49">
        <f>COUNTIFS(Tower_4!$J:$J,Summary!$F$2,Tower_4!$B:$B,Summary!$C10,Tower_4!$C:$C,Summary!$D10)</f>
        <v/>
      </c>
      <c r="G10" s="49">
        <f>COUNTIFS(Tower_3!$J:$J,Summary!$G$2,Tower_3!$B:$B,Summary!$C10,Tower_3!$C:$C,Summary!$D10)</f>
        <v/>
      </c>
      <c r="H10" s="44">
        <f>SUM(E10:G10)</f>
        <v/>
      </c>
      <c r="J10" s="62" t="n"/>
      <c r="K10" s="72" t="inlineStr">
        <is>
          <t>TOTAL</t>
        </is>
      </c>
      <c r="L10" s="75">
        <f>SUM(L3:L9)</f>
        <v/>
      </c>
      <c r="M10" s="75">
        <f>SUM(M3:M9)</f>
        <v/>
      </c>
      <c r="N10" s="75">
        <f>SUM(N3:N9)</f>
        <v/>
      </c>
      <c r="O10" s="75">
        <f>SUM(O3:O9)</f>
        <v/>
      </c>
      <c r="P10" s="75">
        <f>SUM(L10:N10)</f>
        <v/>
      </c>
    </row>
    <row r="11">
      <c r="B11" s="6" t="inlineStr">
        <is>
          <t>T</t>
        </is>
      </c>
      <c r="C11" s="6" t="n">
        <v>5</v>
      </c>
      <c r="D11" s="6" t="inlineStr">
        <is>
          <t>A</t>
        </is>
      </c>
      <c r="E11" s="49">
        <f>COUNTIFS(Tower_5!$J:$J,Summary!$E$2,Tower_5!$B:$B,Summary!$C11,Tower_5!$C:$C,Summary!$D11)</f>
        <v/>
      </c>
      <c r="F11" s="49">
        <f>COUNTIFS(Tower_5!$J:$J,Summary!$F$2,Tower_5!$B:$B,Summary!$C11,Tower_5!$C:$C,Summary!$D11)</f>
        <v/>
      </c>
      <c r="G11" s="49">
        <f>COUNTIFS(Tower_5!$J:$J,Summary!$G$2,Tower_5!$B:$B,Summary!$C11,Tower_5!$C:$C,Summary!$D11)</f>
        <v/>
      </c>
      <c r="H11" s="44">
        <f>SUM(E11:G11)</f>
        <v/>
      </c>
    </row>
    <row r="12">
      <c r="B12" s="6" t="inlineStr">
        <is>
          <t>T</t>
        </is>
      </c>
      <c r="C12" s="6" t="n">
        <v>5</v>
      </c>
      <c r="D12" s="6" t="inlineStr">
        <is>
          <t>B</t>
        </is>
      </c>
      <c r="E12" s="49">
        <f>COUNTIFS(Tower_5!$J:$J,Summary!$E$2,Tower_5!$B:$B,Summary!$C12,Tower_5!$C:$C,Summary!$D12)</f>
        <v/>
      </c>
      <c r="F12" s="49">
        <f>COUNTIFS(Tower_5!$J:$J,Summary!$F$2,Tower_5!$B:$B,Summary!$C12,Tower_5!$C:$C,Summary!$D12)</f>
        <v/>
      </c>
      <c r="G12" s="49">
        <f>COUNTIFS(Tower_5!$J:$J,Summary!$G$2,Tower_5!$B:$B,Summary!$C12,Tower_5!$C:$C,Summary!$D12)</f>
        <v/>
      </c>
      <c r="H12" s="44">
        <f>SUM(E12:G12)</f>
        <v/>
      </c>
      <c r="K12" s="74" t="inlineStr">
        <is>
          <t>Total Tower</t>
        </is>
      </c>
      <c r="L12" s="74">
        <f>SUM(L3:L6)</f>
        <v/>
      </c>
      <c r="M12" s="74">
        <f>SUM(M3:M6)</f>
        <v/>
      </c>
      <c r="N12" s="74">
        <f>SUM(N3:N6)</f>
        <v/>
      </c>
      <c r="O12" s="74">
        <f>SUM(O3:O6)</f>
        <v/>
      </c>
      <c r="P12" s="74">
        <f>SUM(P3:P6)</f>
        <v/>
      </c>
    </row>
    <row r="13">
      <c r="B13" s="6" t="inlineStr">
        <is>
          <t>T</t>
        </is>
      </c>
      <c r="C13" s="6" t="n">
        <v>5</v>
      </c>
      <c r="D13" s="6" t="inlineStr">
        <is>
          <t>C</t>
        </is>
      </c>
      <c r="E13" s="49">
        <f>COUNTIFS(Tower_5!$J:$J,Summary!$E$2,Tower_5!$B:$B,Summary!$C13,Tower_5!$C:$C,Summary!$D13)</f>
        <v/>
      </c>
      <c r="F13" s="49">
        <f>COUNTIFS(Tower_5!$J:$J,Summary!$F$2,Tower_5!$B:$B,Summary!$C13,Tower_5!$C:$C,Summary!$D13)</f>
        <v/>
      </c>
      <c r="G13" s="49">
        <f>COUNTIFS(Tower_5!$J:$J,Summary!$G$2,Tower_5!$B:$B,Summary!$C13,Tower_5!$C:$C,Summary!$D13)</f>
        <v/>
      </c>
      <c r="H13" s="44">
        <f>SUM(E13:G13)</f>
        <v/>
      </c>
      <c r="K13" s="74" t="inlineStr">
        <is>
          <t>Total Riviera</t>
        </is>
      </c>
      <c r="L13" s="74">
        <f>SUM(L7:L9)</f>
        <v/>
      </c>
      <c r="M13" s="74">
        <f>SUM(M7:M9)</f>
        <v/>
      </c>
      <c r="N13" s="74">
        <f>SUM(N7:N9)</f>
        <v/>
      </c>
      <c r="O13" s="74">
        <f>SUM(O7:O9)</f>
        <v/>
      </c>
      <c r="P13" s="74">
        <f>SUM(P7:P9)</f>
        <v/>
      </c>
    </row>
    <row r="14">
      <c r="B14" s="6" t="inlineStr">
        <is>
          <t>T</t>
        </is>
      </c>
      <c r="C14" s="6" t="n">
        <v>5</v>
      </c>
      <c r="D14" s="6" t="inlineStr">
        <is>
          <t>D</t>
        </is>
      </c>
      <c r="E14" s="49">
        <f>COUNTIFS(Tower_5!$J:$J,Summary!$E$2,Tower_5!$B:$B,Summary!$C14,Tower_5!$C:$C,Summary!$D14)</f>
        <v/>
      </c>
      <c r="F14" s="49">
        <f>COUNTIFS(Tower_5!$J:$J,Summary!$F$2,Tower_5!$B:$B,Summary!$C14,Tower_5!$C:$C,Summary!$D14)</f>
        <v/>
      </c>
      <c r="G14" s="49">
        <f>COUNTIFS(Tower_5!$J:$J,Summary!$G$2,Tower_5!$B:$B,Summary!$C14,Tower_5!$C:$C,Summary!$D14)</f>
        <v/>
      </c>
      <c r="H14" s="44">
        <f>SUM(E14:G14)</f>
        <v/>
      </c>
    </row>
    <row r="15">
      <c r="B15" s="6" t="inlineStr">
        <is>
          <t>T</t>
        </is>
      </c>
      <c r="C15" s="6" t="n">
        <v>6</v>
      </c>
      <c r="D15" s="6" t="inlineStr">
        <is>
          <t>A</t>
        </is>
      </c>
      <c r="E15" s="49">
        <f>COUNTIFS(Tower_6!$J:$J,Summary!$E$2,Tower_6!$B:$B,Summary!$C15,Tower_6!$C:$C,Summary!$D15)</f>
        <v/>
      </c>
      <c r="F15" s="49">
        <f>COUNTIFS(Tower_6!$J:$J,Summary!$F$2,Tower_6!$B:$B,Summary!$C15,Tower_6!$C:$C,Summary!$D15)</f>
        <v/>
      </c>
      <c r="G15" s="49">
        <f>COUNTIFS(Tower_6!$J:$J,Summary!$G$2,Tower_6!$B:$B,Summary!$C15,Tower_6!$C:$C,Summary!$D15)</f>
        <v/>
      </c>
      <c r="H15" s="44">
        <f>SUM(E15:G15)</f>
        <v/>
      </c>
    </row>
    <row r="16">
      <c r="B16" s="6" t="inlineStr">
        <is>
          <t>T</t>
        </is>
      </c>
      <c r="C16" s="6" t="n">
        <v>6</v>
      </c>
      <c r="D16" s="6" t="inlineStr">
        <is>
          <t>B</t>
        </is>
      </c>
      <c r="E16" s="49">
        <f>COUNTIFS(Tower_6!$J:$J,Summary!$E$2,Tower_6!$B:$B,Summary!$C16,Tower_6!$C:$C,Summary!$D16)</f>
        <v/>
      </c>
      <c r="F16" s="49">
        <f>COUNTIFS(Tower_6!$J:$J,Summary!$F$2,Tower_6!$B:$B,Summary!$C16,Tower_6!$C:$C,Summary!$D16)</f>
        <v/>
      </c>
      <c r="G16" s="49">
        <f>COUNTIFS(Tower_6!$J:$J,Summary!$G$2,Tower_6!$B:$B,Summary!$C16,Tower_6!$C:$C,Summary!$D16)</f>
        <v/>
      </c>
      <c r="H16" s="44">
        <f>SUM(E16:G16)</f>
        <v/>
      </c>
    </row>
    <row r="17">
      <c r="B17" s="6" t="inlineStr">
        <is>
          <t>T</t>
        </is>
      </c>
      <c r="C17" s="6" t="n">
        <v>6</v>
      </c>
      <c r="D17" s="6" t="inlineStr">
        <is>
          <t>C</t>
        </is>
      </c>
      <c r="E17" s="49">
        <f>COUNTIFS(Tower_6!$J:$J,Summary!$E$2,Tower_6!$B:$B,Summary!$C17,Tower_6!$C:$C,Summary!$D17)</f>
        <v/>
      </c>
      <c r="F17" s="49">
        <f>COUNTIFS(Tower_6!$J:$J,Summary!$F$2,Tower_6!$B:$B,Summary!$C17,Tower_6!$C:$C,Summary!$D17)</f>
        <v/>
      </c>
      <c r="G17" s="49">
        <f>COUNTIFS(Tower_6!$J:$J,Summary!$G$2,Tower_6!$B:$B,Summary!$C17,Tower_6!$C:$C,Summary!$D17)</f>
        <v/>
      </c>
      <c r="H17" s="44">
        <f>SUM(E17:G17)</f>
        <v/>
      </c>
    </row>
    <row r="18">
      <c r="B18" s="6" t="inlineStr">
        <is>
          <t>T</t>
        </is>
      </c>
      <c r="C18" s="6" t="n">
        <v>6</v>
      </c>
      <c r="D18" s="6" t="inlineStr">
        <is>
          <t>D</t>
        </is>
      </c>
      <c r="E18" s="49">
        <f>COUNTIFS(Tower_6!$J:$J,Summary!$E$2,Tower_6!$B:$B,Summary!$C18,Tower_6!$C:$C,Summary!$D18)</f>
        <v/>
      </c>
      <c r="F18" s="49">
        <f>COUNTIFS(Tower_6!$J:$J,Summary!$F$2,Tower_6!$B:$B,Summary!$C18,Tower_6!$C:$C,Summary!$D18)</f>
        <v/>
      </c>
      <c r="G18" s="49">
        <f>COUNTIFS(Tower_6!$J:$J,Summary!$G$2,Tower_6!$B:$B,Summary!$C18,Tower_6!$C:$C,Summary!$D18)</f>
        <v/>
      </c>
      <c r="H18" s="44">
        <f>SUM(E18:G18)</f>
        <v/>
      </c>
    </row>
    <row r="19">
      <c r="B19" s="6" t="inlineStr">
        <is>
          <t>R</t>
        </is>
      </c>
      <c r="C19" s="6" t="n">
        <v>3</v>
      </c>
      <c r="D19" s="6" t="inlineStr">
        <is>
          <t>E</t>
        </is>
      </c>
      <c r="E19" s="49">
        <f>COUNTIFS(Riviera_3!$J:$J,Summary!$E$2,Riviera_3!$B:$B,Summary!$C19,Riviera_3!$C:$C,Summary!$D19)</f>
        <v/>
      </c>
      <c r="F19" s="49">
        <f>COUNTIFS(Riviera_3!$J:$J,Summary!$F$2,Riviera_3!$B:$B,Summary!$C19,Riviera_3!$C:$C,Summary!$D19)</f>
        <v/>
      </c>
      <c r="G19" s="49">
        <f>COUNTIFS(Riviera_3!$J:$J,Summary!$G$2,Riviera_3!$B:$B,Summary!$C19,Riviera_3!$C:$C,Summary!$D19)</f>
        <v/>
      </c>
      <c r="H19" s="44">
        <f>SUM(E19:G19)</f>
        <v/>
      </c>
    </row>
    <row r="20">
      <c r="B20" s="6" t="inlineStr">
        <is>
          <t>R</t>
        </is>
      </c>
      <c r="C20" s="6" t="n">
        <v>3</v>
      </c>
      <c r="D20" s="6" t="inlineStr">
        <is>
          <t>F</t>
        </is>
      </c>
      <c r="E20" s="49">
        <f>COUNTIFS(Riviera_3!$J:$J,Summary!$E$2,Riviera_3!$B:$B,Summary!$C20,Riviera_3!$C:$C,Summary!$D20)</f>
        <v/>
      </c>
      <c r="F20" s="49">
        <f>COUNTIFS(Riviera_3!$J:$J,Summary!$F$2,Riviera_3!$B:$B,Summary!$C20,Riviera_3!$C:$C,Summary!$D20)</f>
        <v/>
      </c>
      <c r="G20" s="49">
        <f>COUNTIFS(Riviera_3!$J:$J,Summary!$G$2,Riviera_3!$B:$B,Summary!$C20,Riviera_3!$C:$C,Summary!$D20)</f>
        <v/>
      </c>
      <c r="H20" s="44">
        <f>SUM(E20:G20)</f>
        <v/>
      </c>
    </row>
    <row r="21">
      <c r="B21" s="6" t="inlineStr">
        <is>
          <t>R</t>
        </is>
      </c>
      <c r="C21" s="6" t="n">
        <v>3</v>
      </c>
      <c r="D21" s="6" t="inlineStr">
        <is>
          <t>G</t>
        </is>
      </c>
      <c r="E21" s="49">
        <f>COUNTIFS(Riviera_3!$J:$J,Summary!$E$2,Riviera_3!$B:$B,Summary!$C21,Riviera_3!$C:$C,Summary!$D21)</f>
        <v/>
      </c>
      <c r="F21" s="49">
        <f>COUNTIFS(Riviera_3!$J:$J,Summary!$F$2,Riviera_3!$B:$B,Summary!$C21,Riviera_3!$C:$C,Summary!$D21)</f>
        <v/>
      </c>
      <c r="G21" s="49">
        <f>COUNTIFS(Riviera_3!$J:$J,Summary!$G$2,Riviera_3!$B:$B,Summary!$C21,Riviera_3!$C:$C,Summary!$D21)</f>
        <v/>
      </c>
      <c r="H21" s="44">
        <f>SUM(E21:G21)</f>
        <v/>
      </c>
    </row>
    <row r="22">
      <c r="B22" s="6" t="inlineStr">
        <is>
          <t>R</t>
        </is>
      </c>
      <c r="C22" s="6" t="n">
        <v>3</v>
      </c>
      <c r="D22" s="6" t="inlineStr">
        <is>
          <t>H</t>
        </is>
      </c>
      <c r="E22" s="49">
        <f>COUNTIFS(Riviera_3!$J:$J,Summary!$E$2,Riviera_3!$B:$B,Summary!$C22,Riviera_3!$C:$C,Summary!$D22)</f>
        <v/>
      </c>
      <c r="F22" s="49">
        <f>COUNTIFS(Riviera_3!$J:$J,Summary!$F$2,Riviera_3!$B:$B,Summary!$C22,Riviera_3!$C:$C,Summary!$D22)</f>
        <v/>
      </c>
      <c r="G22" s="49">
        <f>COUNTIFS(Riviera_3!$J:$J,Summary!$G$2,Riviera_3!$B:$B,Summary!$C22,Riviera_3!$C:$C,Summary!$D22)</f>
        <v/>
      </c>
      <c r="H22" s="44">
        <f>SUM(E22:G22)</f>
        <v/>
      </c>
    </row>
    <row r="23">
      <c r="B23" s="6" t="inlineStr">
        <is>
          <t>R</t>
        </is>
      </c>
      <c r="C23" s="6" t="n">
        <v>4</v>
      </c>
      <c r="D23" s="6" t="inlineStr">
        <is>
          <t>E</t>
        </is>
      </c>
      <c r="E23" s="49">
        <f>COUNTIFS(Riviera_4!$J:$J,Summary!$E$2,Riviera_4!$B:$B,Summary!$C23,Riviera_4!$C:$C,Summary!$D23)</f>
        <v/>
      </c>
      <c r="F23" s="49">
        <f>COUNTIFS(Riviera_4!$J:$J,Summary!$F$2,Riviera_4!$B:$B,Summary!$C23,Riviera_4!$C:$C,Summary!$D23)</f>
        <v/>
      </c>
      <c r="G23" s="49">
        <f>COUNTIFS(Riviera_4!$J:$J,Summary!$G$2,Riviera_4!$B:$B,Summary!$C23,Riviera_4!$C:$C,Summary!$D23)</f>
        <v/>
      </c>
      <c r="H23" s="44">
        <f>SUM(E23:G23)</f>
        <v/>
      </c>
    </row>
    <row r="24">
      <c r="B24" s="6" t="inlineStr">
        <is>
          <t>R</t>
        </is>
      </c>
      <c r="C24" s="6" t="n">
        <v>4</v>
      </c>
      <c r="D24" s="6" t="inlineStr">
        <is>
          <t>F</t>
        </is>
      </c>
      <c r="E24" s="49">
        <f>COUNTIFS(Riviera_4!$J:$J,Summary!$E$2,Riviera_4!$B:$B,Summary!$C24,Riviera_4!$C:$C,Summary!$D24)</f>
        <v/>
      </c>
      <c r="F24" s="49">
        <f>COUNTIFS(Riviera_4!$J:$J,Summary!$F$2,Riviera_4!$B:$B,Summary!$C24,Riviera_4!$C:$C,Summary!$D24)</f>
        <v/>
      </c>
      <c r="G24" s="49">
        <f>COUNTIFS(Riviera_4!$J:$J,Summary!$G$2,Riviera_4!$B:$B,Summary!$C24,Riviera_4!$C:$C,Summary!$D24)</f>
        <v/>
      </c>
      <c r="H24" s="44">
        <f>SUM(E24:G24)</f>
        <v/>
      </c>
    </row>
    <row r="25">
      <c r="B25" s="6" t="inlineStr">
        <is>
          <t>R</t>
        </is>
      </c>
      <c r="C25" s="6" t="n">
        <v>4</v>
      </c>
      <c r="D25" s="6" t="inlineStr">
        <is>
          <t>G</t>
        </is>
      </c>
      <c r="E25" s="49">
        <f>COUNTIFS(Riviera_4!$J:$J,Summary!$E$2,Riviera_4!$B:$B,Summary!$C25,Riviera_4!$C:$C,Summary!$D25)</f>
        <v/>
      </c>
      <c r="F25" s="49">
        <f>COUNTIFS(Riviera_4!$J:$J,Summary!$F$2,Riviera_4!$B:$B,Summary!$C25,Riviera_4!$C:$C,Summary!$D25)</f>
        <v/>
      </c>
      <c r="G25" s="49">
        <f>COUNTIFS(Riviera_4!$J:$J,Summary!$G$2,Riviera_4!$B:$B,Summary!$C25,Riviera_4!$C:$C,Summary!$D25)</f>
        <v/>
      </c>
      <c r="H25" s="44">
        <f>SUM(E25:G25)</f>
        <v/>
      </c>
    </row>
    <row r="26">
      <c r="B26" s="6" t="inlineStr">
        <is>
          <t>R</t>
        </is>
      </c>
      <c r="C26" s="6" t="n">
        <v>4</v>
      </c>
      <c r="D26" s="6" t="inlineStr">
        <is>
          <t>H</t>
        </is>
      </c>
      <c r="E26" s="49">
        <f>COUNTIFS(Riviera_4!$J:$J,Summary!$E$2,Riviera_4!$B:$B,Summary!$C26,Riviera_4!$C:$C,Summary!$D26)</f>
        <v/>
      </c>
      <c r="F26" s="49">
        <f>COUNTIFS(Riviera_4!$J:$J,Summary!$F$2,Riviera_4!$B:$B,Summary!$C26,Riviera_4!$C:$C,Summary!$D26)</f>
        <v/>
      </c>
      <c r="G26" s="49">
        <f>COUNTIFS(Riviera_4!$J:$J,Summary!$G$2,Riviera_4!$B:$B,Summary!$C26,Riviera_4!$C:$C,Summary!$D26)</f>
        <v/>
      </c>
      <c r="H26" s="44">
        <f>SUM(E26:G26)</f>
        <v/>
      </c>
    </row>
    <row r="27">
      <c r="B27" s="6" t="inlineStr">
        <is>
          <t>R</t>
        </is>
      </c>
      <c r="C27" s="6" t="n">
        <v>5</v>
      </c>
      <c r="D27" s="6" t="inlineStr">
        <is>
          <t>E</t>
        </is>
      </c>
      <c r="E27" s="49">
        <f>COUNTIFS(Riviera_5!$J:$J,Summary!$E$2,Riviera_5!$B:$B,Summary!$C27,Riviera_5!$C:$C,Summary!$D27)</f>
        <v/>
      </c>
      <c r="F27" s="49">
        <f>COUNTIFS(Riviera_5!$J:$J,Summary!$F$2,Riviera_5!$B:$B,Summary!$C27,Riviera_5!$C:$C,Summary!$D27)</f>
        <v/>
      </c>
      <c r="G27" s="49">
        <f>COUNTIFS(Riviera_5!$J:$J,Summary!$G$2,Riviera_5!$B:$B,Summary!$C27,Riviera_5!$C:$C,Summary!$D27)</f>
        <v/>
      </c>
      <c r="H27" s="44">
        <f>SUM(E27:G27)</f>
        <v/>
      </c>
    </row>
    <row r="28">
      <c r="B28" s="6" t="inlineStr">
        <is>
          <t>R</t>
        </is>
      </c>
      <c r="C28" s="6" t="n">
        <v>5</v>
      </c>
      <c r="D28" s="6" t="inlineStr">
        <is>
          <t>F</t>
        </is>
      </c>
      <c r="E28" s="49">
        <f>COUNTIFS(Riviera_5!$J:$J,Summary!$E$2,Riviera_5!$B:$B,Summary!$C28,Riviera_5!$C:$C,Summary!$D28)</f>
        <v/>
      </c>
      <c r="F28" s="49">
        <f>COUNTIFS(Riviera_5!$J:$J,Summary!$F$2,Riviera_5!$B:$B,Summary!$C28,Riviera_5!$C:$C,Summary!$D28)</f>
        <v/>
      </c>
      <c r="G28" s="49">
        <f>COUNTIFS(Riviera_5!$J:$J,Summary!$G$2,Riviera_5!$B:$B,Summary!$C28,Riviera_5!$C:$C,Summary!$D28)</f>
        <v/>
      </c>
      <c r="H28" s="44">
        <f>SUM(E28:G28)</f>
        <v/>
      </c>
    </row>
    <row r="29">
      <c r="B29" s="6" t="inlineStr">
        <is>
          <t>R</t>
        </is>
      </c>
      <c r="C29" s="6" t="n">
        <v>5</v>
      </c>
      <c r="D29" s="6" t="inlineStr">
        <is>
          <t>G</t>
        </is>
      </c>
      <c r="E29" s="49">
        <f>COUNTIFS(Riviera_5!$J:$J,Summary!$E$2,Riviera_5!$B:$B,Summary!$C29,Riviera_5!$C:$C,Summary!$D29)</f>
        <v/>
      </c>
      <c r="F29" s="49">
        <f>COUNTIFS(Riviera_5!$J:$J,Summary!$F$2,Riviera_5!$B:$B,Summary!$C29,Riviera_5!$C:$C,Summary!$D29)</f>
        <v/>
      </c>
      <c r="G29" s="49">
        <f>COUNTIFS(Riviera_5!$J:$J,Summary!$G$2,Riviera_5!$B:$B,Summary!$C29,Riviera_5!$C:$C,Summary!$D29)</f>
        <v/>
      </c>
      <c r="H29" s="44">
        <f>SUM(E29:G29)</f>
        <v/>
      </c>
    </row>
    <row r="30">
      <c r="B30" s="6" t="inlineStr">
        <is>
          <t>R</t>
        </is>
      </c>
      <c r="C30" s="6" t="n">
        <v>5</v>
      </c>
      <c r="D30" s="6" t="inlineStr">
        <is>
          <t>H</t>
        </is>
      </c>
      <c r="E30" s="49">
        <f>COUNTIFS(Riviera_5!$J:$J,Summary!$E$2,Riviera_5!$B:$B,Summary!$C30,Riviera_5!$C:$C,Summary!$D30)</f>
        <v/>
      </c>
      <c r="F30" s="49">
        <f>COUNTIFS(Riviera_5!$J:$J,Summary!$F$2,Riviera_5!$B:$B,Summary!$C30,Riviera_5!$C:$C,Summary!$D30)</f>
        <v/>
      </c>
      <c r="G30" s="49">
        <f>COUNTIFS(Riviera_5!$J:$J,Summary!$G$2,Riviera_5!$B:$B,Summary!$C30,Riviera_5!$C:$C,Summary!$D30)</f>
        <v/>
      </c>
      <c r="H30" s="44">
        <f>SUM(E30:G30)</f>
        <v/>
      </c>
    </row>
    <row r="31" ht="9" customHeight="1">
      <c r="B31" s="50" t="n"/>
      <c r="C31" s="50" t="n"/>
      <c r="D31" s="50" t="n"/>
      <c r="E31" s="51" t="n"/>
      <c r="F31" s="51" t="n"/>
      <c r="G31" s="51" t="n"/>
      <c r="H31" s="51" t="n"/>
    </row>
    <row r="32" customFormat="1" s="1">
      <c r="B32" s="120" t="inlineStr">
        <is>
          <t xml:space="preserve">TOTAL </t>
        </is>
      </c>
      <c r="C32" s="121" t="n"/>
      <c r="D32" s="122" t="n"/>
      <c r="E32" s="120">
        <f>SUBTOTAL(9,E3:E30)</f>
        <v/>
      </c>
      <c r="F32" s="120">
        <f>SUBTOTAL(9,F3:F30)</f>
        <v/>
      </c>
      <c r="G32" s="120">
        <f>SUBTOTAL(9,G3:G30)</f>
        <v/>
      </c>
      <c r="H32" s="120">
        <f>SUBTOTAL(9,H3:H30)</f>
        <v/>
      </c>
    </row>
  </sheetData>
  <autoFilter ref="B2:P2"/>
  <mergeCells count="1">
    <mergeCell ref="B32:D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zoomScaleNormal="100" workbookViewId="0">
      <pane ySplit="1" topLeftCell="A2" activePane="bottomLeft" state="frozen"/>
      <selection pane="bottomLeft" activeCell="O57" sqref="O57"/>
    </sheetView>
  </sheetViews>
  <sheetFormatPr baseColWidth="8" defaultColWidth="8.7109375" defaultRowHeight="15"/>
  <cols>
    <col width="11.85546875" bestFit="1" customWidth="1" style="1" min="1" max="1"/>
    <col width="8.85546875" bestFit="1" customWidth="1" style="1" min="2" max="2"/>
    <col width="12" customWidth="1" style="1" min="3" max="3"/>
    <col width="16.42578125" bestFit="1" customWidth="1" style="1" min="4" max="4"/>
    <col width="8" bestFit="1" customWidth="1" style="1" min="5" max="5"/>
    <col width="17.42578125" bestFit="1" customWidth="1" style="1" min="6" max="7"/>
    <col width="28.28515625" bestFit="1" customWidth="1" style="18" min="8" max="8"/>
    <col width="23.42578125" bestFit="1" customWidth="1" style="18" min="9" max="9"/>
    <col width="15.7109375" bestFit="1" customWidth="1" style="1" min="10" max="10"/>
    <col width="12.42578125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10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T</t>
        </is>
      </c>
      <c r="B2" s="6" t="n">
        <v>3</v>
      </c>
      <c r="C2" s="7" t="inlineStr">
        <is>
          <t>A</t>
        </is>
      </c>
      <c r="D2" s="12" t="inlineStr">
        <is>
          <t>00</t>
        </is>
      </c>
      <c r="E2" s="7" t="n">
        <v>1</v>
      </c>
      <c r="F2" s="7">
        <f>A2&amp;B2&amp;"-"&amp;C2&amp;E2&amp;"-"&amp;D2</f>
        <v/>
      </c>
      <c r="G2" s="6" t="n">
        <v>1194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6">
        <f>IF(G2&lt;&gt;"","Allocated","Available")</f>
        <v/>
      </c>
    </row>
    <row r="3">
      <c r="A3" s="6" t="inlineStr">
        <is>
          <t>T</t>
        </is>
      </c>
      <c r="B3" s="6" t="n">
        <v>3</v>
      </c>
      <c r="C3" s="7" t="inlineStr">
        <is>
          <t>A</t>
        </is>
      </c>
      <c r="D3" s="12" t="inlineStr">
        <is>
          <t>01</t>
        </is>
      </c>
      <c r="E3" s="7" t="n">
        <v>1</v>
      </c>
      <c r="F3" s="7">
        <f>A3&amp;B3&amp;"-"&amp;C3&amp;E3&amp;"-"&amp;D3</f>
        <v/>
      </c>
      <c r="G3" s="6" t="n">
        <v>935</v>
      </c>
      <c r="H3" s="47">
        <f>_xlfn.XLOOKUP(G3,'All Associates'!A:A,'All Associates'!B:B)</f>
        <v/>
      </c>
      <c r="I3" s="47">
        <f>_xlfn.XLOOKUP(G3,'All Associates'!A:A,'All Associates'!D:D)</f>
        <v/>
      </c>
      <c r="J3" s="6">
        <f>IF(G3&lt;&gt;"","Allocated","Available")</f>
        <v/>
      </c>
    </row>
    <row r="4">
      <c r="A4" s="6" t="inlineStr">
        <is>
          <t>T</t>
        </is>
      </c>
      <c r="B4" s="6" t="n">
        <v>3</v>
      </c>
      <c r="C4" s="7" t="inlineStr">
        <is>
          <t>A</t>
        </is>
      </c>
      <c r="D4" s="12" t="inlineStr">
        <is>
          <t>02</t>
        </is>
      </c>
      <c r="E4" s="7" t="n">
        <v>1</v>
      </c>
      <c r="F4" s="7">
        <f>A4&amp;B4&amp;"-"&amp;C4&amp;E4&amp;"-"&amp;D4</f>
        <v/>
      </c>
      <c r="G4" s="6" t="n">
        <v>687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6">
        <f>IF(G4&lt;&gt;"","Allocated","Available")</f>
        <v/>
      </c>
    </row>
    <row r="5">
      <c r="A5" s="6" t="inlineStr">
        <is>
          <t>T</t>
        </is>
      </c>
      <c r="B5" s="6" t="n">
        <v>3</v>
      </c>
      <c r="C5" s="7" t="inlineStr">
        <is>
          <t>A</t>
        </is>
      </c>
      <c r="D5" s="12" t="inlineStr">
        <is>
          <t>03</t>
        </is>
      </c>
      <c r="E5" s="7" t="n">
        <v>1</v>
      </c>
      <c r="F5" s="7">
        <f>A5&amp;B5&amp;"-"&amp;C5&amp;E5&amp;"-"&amp;D5</f>
        <v/>
      </c>
      <c r="G5" s="6" t="n">
        <v>685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6">
        <f>IF(G5&lt;&gt;"","Allocated","Available")</f>
        <v/>
      </c>
    </row>
    <row r="6">
      <c r="A6" s="6" t="inlineStr">
        <is>
          <t>T</t>
        </is>
      </c>
      <c r="B6" s="6" t="n">
        <v>3</v>
      </c>
      <c r="C6" s="7" t="inlineStr">
        <is>
          <t>A</t>
        </is>
      </c>
      <c r="D6" s="12" t="inlineStr">
        <is>
          <t>04</t>
        </is>
      </c>
      <c r="E6" s="7" t="n">
        <v>1</v>
      </c>
      <c r="F6" s="7">
        <f>A6&amp;B6&amp;"-"&amp;C6&amp;E6&amp;"-"&amp;D6</f>
        <v/>
      </c>
      <c r="G6" s="7" t="n">
        <v>1227</v>
      </c>
      <c r="H6" s="47">
        <f>_xlfn.XLOOKUP(G6,'All Associates'!A:A,'All Associates'!B:B)</f>
        <v/>
      </c>
      <c r="I6" s="47">
        <f>_xlfn.XLOOKUP(G6,'All Associates'!A:A,'All Associates'!D:D)</f>
        <v/>
      </c>
      <c r="J6" s="6">
        <f>IF(G6&lt;&gt;"","Allocated","Available")</f>
        <v/>
      </c>
    </row>
    <row r="7">
      <c r="A7" s="6" t="inlineStr">
        <is>
          <t>T</t>
        </is>
      </c>
      <c r="B7" s="6" t="n">
        <v>3</v>
      </c>
      <c r="C7" s="7" t="inlineStr">
        <is>
          <t>A</t>
        </is>
      </c>
      <c r="D7" s="12" t="inlineStr">
        <is>
          <t>05</t>
        </is>
      </c>
      <c r="E7" s="7" t="n">
        <v>1</v>
      </c>
      <c r="F7" s="7">
        <f>A7&amp;B7&amp;"-"&amp;C7&amp;E7&amp;"-"&amp;D7</f>
        <v/>
      </c>
      <c r="G7" s="6" t="n">
        <v>1216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6">
        <f>IF(G7&lt;&gt;"","Allocated","Available")</f>
        <v/>
      </c>
    </row>
    <row r="8">
      <c r="A8" s="6" t="inlineStr">
        <is>
          <t>T</t>
        </is>
      </c>
      <c r="B8" s="6" t="n">
        <v>3</v>
      </c>
      <c r="C8" s="7" t="inlineStr">
        <is>
          <t>A</t>
        </is>
      </c>
      <c r="D8" s="12" t="inlineStr">
        <is>
          <t>06</t>
        </is>
      </c>
      <c r="E8" s="7" t="n">
        <v>1</v>
      </c>
      <c r="F8" s="7">
        <f>A8&amp;B8&amp;"-"&amp;C8&amp;E8&amp;"-"&amp;D8</f>
        <v/>
      </c>
      <c r="G8" s="6" t="n"/>
      <c r="H8" s="47">
        <f>_xlfn.XLOOKUP(G8,'All Associates'!A:A,'All Associates'!B:B)</f>
        <v/>
      </c>
      <c r="I8" s="47">
        <f>_xlfn.XLOOKUP(G8,'All Associates'!A:A,'All Associates'!D:D)</f>
        <v/>
      </c>
      <c r="J8" s="6">
        <f>IF(G8&lt;&gt;"","Allocated","Available")</f>
        <v/>
      </c>
    </row>
    <row r="9">
      <c r="A9" s="53" t="inlineStr">
        <is>
          <t>T</t>
        </is>
      </c>
      <c r="B9" s="53" t="n">
        <v>3</v>
      </c>
      <c r="C9" s="54" t="inlineStr">
        <is>
          <t>A</t>
        </is>
      </c>
      <c r="D9" s="55" t="inlineStr">
        <is>
          <t>07</t>
        </is>
      </c>
      <c r="E9" s="54" t="n">
        <v>1</v>
      </c>
      <c r="F9" s="54">
        <f>A9&amp;B9&amp;"-"&amp;C9&amp;E9&amp;"-"&amp;D9</f>
        <v/>
      </c>
      <c r="G9" s="54" t="n"/>
      <c r="H9" s="56" t="n"/>
      <c r="I9" s="56" t="n"/>
      <c r="J9" s="53" t="n"/>
    </row>
    <row r="10">
      <c r="A10" s="53" t="inlineStr">
        <is>
          <t>T</t>
        </is>
      </c>
      <c r="B10" s="53" t="n">
        <v>3</v>
      </c>
      <c r="C10" s="54" t="inlineStr">
        <is>
          <t>A</t>
        </is>
      </c>
      <c r="D10" s="55" t="inlineStr">
        <is>
          <t>08</t>
        </is>
      </c>
      <c r="E10" s="54" t="n">
        <v>1</v>
      </c>
      <c r="F10" s="54">
        <f>A10&amp;B10&amp;"-"&amp;C10&amp;E10&amp;"-"&amp;D10</f>
        <v/>
      </c>
      <c r="G10" s="54" t="n"/>
      <c r="H10" s="56" t="n"/>
      <c r="I10" s="56" t="n"/>
      <c r="J10" s="53" t="n"/>
    </row>
    <row r="11">
      <c r="A11" s="6" t="inlineStr">
        <is>
          <t>T</t>
        </is>
      </c>
      <c r="B11" s="6" t="n">
        <v>3</v>
      </c>
      <c r="C11" s="7" t="inlineStr">
        <is>
          <t>A</t>
        </is>
      </c>
      <c r="D11" s="12" t="inlineStr">
        <is>
          <t>01</t>
        </is>
      </c>
      <c r="E11" s="7" t="n">
        <v>2</v>
      </c>
      <c r="F11" s="7">
        <f>A11&amp;B11&amp;"-"&amp;C11&amp;E11&amp;"-"&amp;D11</f>
        <v/>
      </c>
      <c r="G11" s="6" t="n">
        <v>932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6">
        <f>IF(G11&lt;&gt;"","Allocated","Available")</f>
        <v/>
      </c>
    </row>
    <row r="12">
      <c r="A12" s="6" t="inlineStr">
        <is>
          <t>T</t>
        </is>
      </c>
      <c r="B12" s="6" t="n">
        <v>3</v>
      </c>
      <c r="C12" s="7" t="inlineStr">
        <is>
          <t>A</t>
        </is>
      </c>
      <c r="D12" s="12" t="inlineStr">
        <is>
          <t>02</t>
        </is>
      </c>
      <c r="E12" s="7" t="n">
        <v>2</v>
      </c>
      <c r="F12" s="7">
        <f>A12&amp;B12&amp;"-"&amp;C12&amp;E12&amp;"-"&amp;D12</f>
        <v/>
      </c>
      <c r="G12" s="6" t="n">
        <v>994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6">
        <f>IF(G12&lt;&gt;"","Allocated","Available")</f>
        <v/>
      </c>
    </row>
    <row r="13">
      <c r="A13" s="6" t="inlineStr">
        <is>
          <t>T</t>
        </is>
      </c>
      <c r="B13" s="6" t="n">
        <v>3</v>
      </c>
      <c r="C13" s="7" t="inlineStr">
        <is>
          <t>A</t>
        </is>
      </c>
      <c r="D13" s="12" t="inlineStr">
        <is>
          <t>03</t>
        </is>
      </c>
      <c r="E13" s="7" t="n">
        <v>2</v>
      </c>
      <c r="F13" s="7">
        <f>A13&amp;B13&amp;"-"&amp;C13&amp;E13&amp;"-"&amp;D13</f>
        <v/>
      </c>
      <c r="G13" s="6" t="n">
        <v>487</v>
      </c>
      <c r="H13" s="47">
        <f>_xlfn.XLOOKUP(G13,'All Associates'!A:A,'All Associates'!B:B)</f>
        <v/>
      </c>
      <c r="I13" s="47">
        <f>_xlfn.XLOOKUP(G13,'All Associates'!A:A,'All Associates'!D:D)</f>
        <v/>
      </c>
      <c r="J13" s="6">
        <f>IF(G13&lt;&gt;"","Allocated","Available")</f>
        <v/>
      </c>
    </row>
    <row r="14">
      <c r="A14" s="6" t="inlineStr">
        <is>
          <t>T</t>
        </is>
      </c>
      <c r="B14" s="6" t="n">
        <v>3</v>
      </c>
      <c r="C14" s="7" t="inlineStr">
        <is>
          <t>A</t>
        </is>
      </c>
      <c r="D14" s="12" t="inlineStr">
        <is>
          <t>04</t>
        </is>
      </c>
      <c r="E14" s="7" t="n">
        <v>2</v>
      </c>
      <c r="F14" s="7">
        <f>A14&amp;B14&amp;"-"&amp;C14&amp;E14&amp;"-"&amp;D14</f>
        <v/>
      </c>
      <c r="G14" s="6" t="n">
        <v>128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6">
        <f>IF(G14&lt;&gt;"","Allocated","Available")</f>
        <v/>
      </c>
    </row>
    <row r="15">
      <c r="A15" s="6" t="inlineStr">
        <is>
          <t>T</t>
        </is>
      </c>
      <c r="B15" s="6" t="n">
        <v>3</v>
      </c>
      <c r="C15" s="7" t="inlineStr">
        <is>
          <t>A</t>
        </is>
      </c>
      <c r="D15" s="12" t="inlineStr">
        <is>
          <t>05</t>
        </is>
      </c>
      <c r="E15" s="7" t="n">
        <v>2</v>
      </c>
      <c r="F15" s="7">
        <f>A15&amp;B15&amp;"-"&amp;C15&amp;E15&amp;"-"&amp;D15</f>
        <v/>
      </c>
      <c r="G15" s="7" t="n"/>
      <c r="H15" s="47">
        <f>_xlfn.XLOOKUP(G15,'All Associates'!A:A,'All Associates'!B:B)</f>
        <v/>
      </c>
      <c r="I15" s="47">
        <f>_xlfn.XLOOKUP(G15,'All Associates'!A:A,'All Associates'!D:D)</f>
        <v/>
      </c>
      <c r="J15" s="6">
        <f>IF(G15&lt;&gt;"","Allocated","Available")</f>
        <v/>
      </c>
    </row>
    <row r="16">
      <c r="A16" s="6" t="inlineStr">
        <is>
          <t>T</t>
        </is>
      </c>
      <c r="B16" s="6" t="n">
        <v>3</v>
      </c>
      <c r="C16" s="7" t="inlineStr">
        <is>
          <t>A</t>
        </is>
      </c>
      <c r="D16" s="12" t="inlineStr">
        <is>
          <t>06</t>
        </is>
      </c>
      <c r="E16" s="7" t="n">
        <v>2</v>
      </c>
      <c r="F16" s="7">
        <f>A16&amp;B16&amp;"-"&amp;C16&amp;E16&amp;"-"&amp;D16</f>
        <v/>
      </c>
      <c r="G16" s="7" t="n"/>
      <c r="H16" s="47">
        <f>_xlfn.XLOOKUP(G16,'All Associates'!A:A,'All Associates'!B:B)</f>
        <v/>
      </c>
      <c r="I16" s="47">
        <f>_xlfn.XLOOKUP(G16,'All Associates'!A:A,'All Associates'!D:D)</f>
        <v/>
      </c>
      <c r="J16" s="6" t="n"/>
    </row>
    <row r="17">
      <c r="A17" s="53" t="inlineStr">
        <is>
          <t>T</t>
        </is>
      </c>
      <c r="B17" s="53" t="n">
        <v>3</v>
      </c>
      <c r="C17" s="54" t="inlineStr">
        <is>
          <t>A</t>
        </is>
      </c>
      <c r="D17" s="55" t="inlineStr">
        <is>
          <t>07</t>
        </is>
      </c>
      <c r="E17" s="54" t="n">
        <v>2</v>
      </c>
      <c r="F17" s="54">
        <f>A17&amp;B17&amp;"-"&amp;C17&amp;E17&amp;"-"&amp;D17</f>
        <v/>
      </c>
      <c r="G17" s="54" t="n"/>
      <c r="H17" s="56" t="n"/>
      <c r="I17" s="56" t="n"/>
      <c r="J17" s="53" t="n"/>
    </row>
    <row r="18">
      <c r="A18" s="53" t="inlineStr">
        <is>
          <t>T</t>
        </is>
      </c>
      <c r="B18" s="53" t="n">
        <v>3</v>
      </c>
      <c r="C18" s="54" t="inlineStr">
        <is>
          <t>A</t>
        </is>
      </c>
      <c r="D18" s="55" t="inlineStr">
        <is>
          <t>08</t>
        </is>
      </c>
      <c r="E18" s="54" t="n">
        <v>2</v>
      </c>
      <c r="F18" s="54">
        <f>A18&amp;B18&amp;"-"&amp;C18&amp;E18&amp;"-"&amp;D18</f>
        <v/>
      </c>
      <c r="G18" s="54" t="n"/>
      <c r="H18" s="56" t="n"/>
      <c r="I18" s="56" t="n"/>
      <c r="J18" s="53" t="n"/>
    </row>
    <row r="19">
      <c r="A19" s="53" t="inlineStr">
        <is>
          <t>T</t>
        </is>
      </c>
      <c r="B19" s="53" t="n">
        <v>3</v>
      </c>
      <c r="C19" s="54" t="inlineStr">
        <is>
          <t>A</t>
        </is>
      </c>
      <c r="D19" s="55" t="inlineStr">
        <is>
          <t>01</t>
        </is>
      </c>
      <c r="E19" s="54" t="n">
        <v>3</v>
      </c>
      <c r="F19" s="54">
        <f>A19&amp;B19&amp;"-"&amp;C19&amp;E19&amp;"-"&amp;D19</f>
        <v/>
      </c>
      <c r="G19" s="54" t="n"/>
      <c r="H19" s="56" t="n"/>
      <c r="I19" s="56" t="n"/>
      <c r="J19" s="53" t="inlineStr">
        <is>
          <t>NA</t>
        </is>
      </c>
    </row>
    <row r="20">
      <c r="A20" s="6" t="inlineStr">
        <is>
          <t>T</t>
        </is>
      </c>
      <c r="B20" s="6" t="n">
        <v>3</v>
      </c>
      <c r="C20" s="7" t="inlineStr">
        <is>
          <t>A</t>
        </is>
      </c>
      <c r="D20" s="12" t="inlineStr">
        <is>
          <t>01</t>
        </is>
      </c>
      <c r="E20" s="7" t="inlineStr">
        <is>
          <t>M1</t>
        </is>
      </c>
      <c r="F20" s="7">
        <f>A20&amp;B20&amp;"-"&amp;C20&amp;E20&amp;"-"&amp;D20</f>
        <v/>
      </c>
      <c r="G20" s="7" t="n">
        <v>1</v>
      </c>
      <c r="H20" s="47">
        <f>_xlfn.XLOOKUP(G20,'All Associates'!A:A,'All Associates'!B:B)</f>
        <v/>
      </c>
      <c r="I20" s="47">
        <f>_xlfn.XLOOKUP(G20,'All Associates'!A:A,'All Associates'!D:D)</f>
        <v/>
      </c>
      <c r="J20" s="6">
        <f>IF(G20&lt;&gt;"","Allocated","Available")</f>
        <v/>
      </c>
    </row>
    <row r="21">
      <c r="A21" s="6" t="inlineStr">
        <is>
          <t>T</t>
        </is>
      </c>
      <c r="B21" s="6" t="n">
        <v>3</v>
      </c>
      <c r="C21" s="7" t="inlineStr">
        <is>
          <t>B</t>
        </is>
      </c>
      <c r="D21" s="12" t="inlineStr">
        <is>
          <t>01</t>
        </is>
      </c>
      <c r="E21" s="7" t="n">
        <v>1</v>
      </c>
      <c r="F21" s="7">
        <f>A21&amp;B21&amp;"-"&amp;C21&amp;E21&amp;"-"&amp;D21</f>
        <v/>
      </c>
      <c r="G21" s="6" t="n">
        <v>929</v>
      </c>
      <c r="H21" s="47">
        <f>_xlfn.XLOOKUP(G21,'All Associates'!A:A,'All Associates'!B:B)</f>
        <v/>
      </c>
      <c r="I21" s="47">
        <f>_xlfn.XLOOKUP(G21,'All Associates'!A:A,'All Associates'!D:D)</f>
        <v/>
      </c>
      <c r="J21" s="6" t="inlineStr">
        <is>
          <t>HW</t>
        </is>
      </c>
    </row>
    <row r="22">
      <c r="A22" s="6" t="inlineStr">
        <is>
          <t>T</t>
        </is>
      </c>
      <c r="B22" s="6" t="n">
        <v>3</v>
      </c>
      <c r="C22" s="7" t="inlineStr">
        <is>
          <t>B</t>
        </is>
      </c>
      <c r="D22" s="12" t="inlineStr">
        <is>
          <t>02</t>
        </is>
      </c>
      <c r="E22" s="7" t="n">
        <v>1</v>
      </c>
      <c r="F22" s="7">
        <f>A22&amp;B22&amp;"-"&amp;C22&amp;E22&amp;"-"&amp;D22</f>
        <v/>
      </c>
      <c r="G22" s="7" t="n">
        <v>577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6" t="inlineStr">
        <is>
          <t>HW</t>
        </is>
      </c>
    </row>
    <row r="23">
      <c r="A23" s="6" t="inlineStr">
        <is>
          <t>T</t>
        </is>
      </c>
      <c r="B23" s="6" t="n">
        <v>3</v>
      </c>
      <c r="C23" s="7" t="inlineStr">
        <is>
          <t>B</t>
        </is>
      </c>
      <c r="D23" s="12" t="inlineStr">
        <is>
          <t>03</t>
        </is>
      </c>
      <c r="E23" s="7" t="n">
        <v>1</v>
      </c>
      <c r="F23" s="7">
        <f>A23&amp;B23&amp;"-"&amp;C23&amp;E23&amp;"-"&amp;D23</f>
        <v/>
      </c>
      <c r="G23" s="7" t="n">
        <v>964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6" t="inlineStr">
        <is>
          <t>HW</t>
        </is>
      </c>
    </row>
    <row r="24">
      <c r="A24" s="6" t="inlineStr">
        <is>
          <t>T</t>
        </is>
      </c>
      <c r="B24" s="6" t="n">
        <v>3</v>
      </c>
      <c r="C24" s="7" t="inlineStr">
        <is>
          <t>B</t>
        </is>
      </c>
      <c r="D24" s="12" t="inlineStr">
        <is>
          <t>04</t>
        </is>
      </c>
      <c r="E24" s="7" t="n">
        <v>1</v>
      </c>
      <c r="F24" s="7">
        <f>A24&amp;B24&amp;"-"&amp;C24&amp;E24&amp;"-"&amp;D24</f>
        <v/>
      </c>
      <c r="G24" s="7" t="n"/>
      <c r="H24" s="47">
        <f>_xlfn.XLOOKUP(G24,'All Associates'!A:A,'All Associates'!B:B)</f>
        <v/>
      </c>
      <c r="I24" s="47">
        <f>_xlfn.XLOOKUP(G24,'All Associates'!A:A,'All Associates'!D:D)</f>
        <v/>
      </c>
      <c r="J24" s="6" t="inlineStr">
        <is>
          <t>HW</t>
        </is>
      </c>
    </row>
    <row r="25">
      <c r="A25" s="6" t="inlineStr">
        <is>
          <t>T</t>
        </is>
      </c>
      <c r="B25" s="6" t="n">
        <v>3</v>
      </c>
      <c r="C25" s="7" t="inlineStr">
        <is>
          <t>B</t>
        </is>
      </c>
      <c r="D25" s="12" t="inlineStr">
        <is>
          <t>01</t>
        </is>
      </c>
      <c r="E25" s="7" t="inlineStr">
        <is>
          <t>M1</t>
        </is>
      </c>
      <c r="F25" s="7">
        <f>A25&amp;B25&amp;"-"&amp;C25&amp;E25&amp;"-"&amp;D25</f>
        <v/>
      </c>
      <c r="G25" s="7" t="n">
        <v>1112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6">
        <f>IF(G25&lt;&gt;"","Allocated","Available")</f>
        <v/>
      </c>
    </row>
    <row r="26">
      <c r="A26" s="6" t="inlineStr">
        <is>
          <t>T</t>
        </is>
      </c>
      <c r="B26" s="6" t="n">
        <v>3</v>
      </c>
      <c r="C26" s="7" t="inlineStr">
        <is>
          <t>C</t>
        </is>
      </c>
      <c r="D26" s="12" t="inlineStr">
        <is>
          <t>01</t>
        </is>
      </c>
      <c r="E26" s="7" t="n">
        <v>1</v>
      </c>
      <c r="F26" s="7">
        <f>A26&amp;B26&amp;"-"&amp;C26&amp;E26&amp;"-"&amp;D26</f>
        <v/>
      </c>
      <c r="G26" s="7" t="n">
        <v>446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6">
        <f>IF(G26&lt;&gt;"","Allocated","Available")</f>
        <v/>
      </c>
    </row>
    <row r="27">
      <c r="A27" s="6" t="inlineStr">
        <is>
          <t>T</t>
        </is>
      </c>
      <c r="B27" s="6" t="n">
        <v>3</v>
      </c>
      <c r="C27" s="7" t="inlineStr">
        <is>
          <t>C</t>
        </is>
      </c>
      <c r="D27" s="12" t="inlineStr">
        <is>
          <t>02</t>
        </is>
      </c>
      <c r="E27" s="7" t="n">
        <v>1</v>
      </c>
      <c r="F27" s="7">
        <f>A27&amp;B27&amp;"-"&amp;C27&amp;E27&amp;"-"&amp;D27</f>
        <v/>
      </c>
      <c r="G27" s="7" t="n">
        <v>860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6">
        <f>IF(G27&lt;&gt;"","Allocated","Available")</f>
        <v/>
      </c>
    </row>
    <row r="28">
      <c r="A28" s="6" t="inlineStr">
        <is>
          <t>T</t>
        </is>
      </c>
      <c r="B28" s="6" t="n">
        <v>3</v>
      </c>
      <c r="C28" s="7" t="inlineStr">
        <is>
          <t>C</t>
        </is>
      </c>
      <c r="D28" s="12" t="inlineStr">
        <is>
          <t>03</t>
        </is>
      </c>
      <c r="E28" s="7" t="n">
        <v>1</v>
      </c>
      <c r="F28" s="7">
        <f>A28&amp;B28&amp;"-"&amp;C28&amp;E28&amp;"-"&amp;D28</f>
        <v/>
      </c>
      <c r="G28" s="7" t="n">
        <v>1228</v>
      </c>
      <c r="H28" s="47">
        <f>_xlfn.XLOOKUP(G28,'All Associates'!A:A,'All Associates'!B:B)</f>
        <v/>
      </c>
      <c r="I28" s="47">
        <f>_xlfn.XLOOKUP(G28,'All Associates'!A:A,'All Associates'!D:D)</f>
        <v/>
      </c>
      <c r="J28" s="6">
        <f>IF(G28&lt;&gt;"","Allocated","Available")</f>
        <v/>
      </c>
    </row>
    <row r="29">
      <c r="A29" s="6" t="inlineStr">
        <is>
          <t>T</t>
        </is>
      </c>
      <c r="B29" s="6" t="n">
        <v>3</v>
      </c>
      <c r="C29" s="7" t="inlineStr">
        <is>
          <t>C</t>
        </is>
      </c>
      <c r="D29" s="12" t="inlineStr">
        <is>
          <t>04</t>
        </is>
      </c>
      <c r="E29" s="7" t="n">
        <v>1</v>
      </c>
      <c r="F29" s="7">
        <f>A29&amp;B29&amp;"-"&amp;C29&amp;E29&amp;"-"&amp;D29</f>
        <v/>
      </c>
      <c r="G29" s="7" t="n">
        <v>1140</v>
      </c>
      <c r="H29" s="47">
        <f>_xlfn.XLOOKUP(G29,'All Associates'!A:A,'All Associates'!B:B)</f>
        <v/>
      </c>
      <c r="I29" s="47">
        <f>_xlfn.XLOOKUP(G29,'All Associates'!A:A,'All Associates'!D:D)</f>
        <v/>
      </c>
      <c r="J29" s="6">
        <f>IF(G29&lt;&gt;"","Allocated","Available")</f>
        <v/>
      </c>
    </row>
    <row r="30">
      <c r="A30" s="6" t="inlineStr">
        <is>
          <t>T</t>
        </is>
      </c>
      <c r="B30" s="6" t="n">
        <v>3</v>
      </c>
      <c r="C30" s="7" t="inlineStr">
        <is>
          <t>C</t>
        </is>
      </c>
      <c r="D30" s="12" t="inlineStr">
        <is>
          <t>05</t>
        </is>
      </c>
      <c r="E30" s="7" t="n">
        <v>1</v>
      </c>
      <c r="F30" s="7">
        <f>A30&amp;B30&amp;"-"&amp;C30&amp;E30&amp;"-"&amp;D30</f>
        <v/>
      </c>
      <c r="G30" s="7" t="n">
        <v>418</v>
      </c>
      <c r="H30" s="47">
        <f>_xlfn.XLOOKUP(G30,'All Associates'!A:A,'All Associates'!B:B)</f>
        <v/>
      </c>
      <c r="I30" s="47">
        <f>_xlfn.XLOOKUP(G30,'All Associates'!A:A,'All Associates'!D:D)</f>
        <v/>
      </c>
      <c r="J30" s="6">
        <f>IF(G30&lt;&gt;"","Allocated","Available")</f>
        <v/>
      </c>
    </row>
    <row r="31">
      <c r="A31" s="6" t="inlineStr">
        <is>
          <t>T</t>
        </is>
      </c>
      <c r="B31" s="6" t="n">
        <v>3</v>
      </c>
      <c r="C31" s="7" t="inlineStr">
        <is>
          <t>C</t>
        </is>
      </c>
      <c r="D31" s="12" t="inlineStr">
        <is>
          <t>06</t>
        </is>
      </c>
      <c r="E31" s="7" t="n">
        <v>1</v>
      </c>
      <c r="F31" s="7">
        <f>A31&amp;B31&amp;"-"&amp;C31&amp;E31&amp;"-"&amp;D31</f>
        <v/>
      </c>
      <c r="G31" s="6" t="n">
        <v>2012</v>
      </c>
      <c r="H31" s="47">
        <f>_xlfn.XLOOKUP(G31,'All Associates'!A:A,'All Associates'!B:B)</f>
        <v/>
      </c>
      <c r="I31" s="47">
        <f>_xlfn.XLOOKUP(G31,'All Associates'!A:A,'All Associates'!D:D)</f>
        <v/>
      </c>
      <c r="J31" s="6">
        <f>IF(G31&lt;&gt;"","Allocated","Available")</f>
        <v/>
      </c>
    </row>
    <row r="32">
      <c r="A32" s="6" t="inlineStr">
        <is>
          <t>T</t>
        </is>
      </c>
      <c r="B32" s="6" t="n">
        <v>3</v>
      </c>
      <c r="C32" s="7" t="inlineStr">
        <is>
          <t>C</t>
        </is>
      </c>
      <c r="D32" s="12" t="inlineStr">
        <is>
          <t>07</t>
        </is>
      </c>
      <c r="E32" s="7" t="n">
        <v>1</v>
      </c>
      <c r="F32" s="7">
        <f>A32&amp;B32&amp;"-"&amp;C32&amp;E32&amp;"-"&amp;D32</f>
        <v/>
      </c>
      <c r="G32" s="7" t="n">
        <v>506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6">
        <f>IF(G32&lt;&gt;"","Allocated","Available")</f>
        <v/>
      </c>
    </row>
    <row r="33">
      <c r="A33" s="6" t="inlineStr">
        <is>
          <t>T</t>
        </is>
      </c>
      <c r="B33" s="6" t="n">
        <v>3</v>
      </c>
      <c r="C33" s="7" t="inlineStr">
        <is>
          <t>C</t>
        </is>
      </c>
      <c r="D33" s="12" t="inlineStr">
        <is>
          <t>08</t>
        </is>
      </c>
      <c r="E33" s="7" t="n">
        <v>1</v>
      </c>
      <c r="F33" s="7">
        <f>A33&amp;B33&amp;"-"&amp;C33&amp;E33&amp;"-"&amp;D33</f>
        <v/>
      </c>
      <c r="G33" s="7" t="n">
        <v>909</v>
      </c>
      <c r="H33" s="47">
        <f>_xlfn.XLOOKUP(G33,'All Associates'!A:A,'All Associates'!B:B)</f>
        <v/>
      </c>
      <c r="I33" s="47">
        <f>_xlfn.XLOOKUP(G33,'All Associates'!A:A,'All Associates'!D:D)</f>
        <v/>
      </c>
      <c r="J33" s="6">
        <f>IF(G33&lt;&gt;"","Allocated","Available")</f>
        <v/>
      </c>
    </row>
    <row r="34">
      <c r="A34" s="6" t="inlineStr">
        <is>
          <t>T</t>
        </is>
      </c>
      <c r="B34" s="6" t="n">
        <v>3</v>
      </c>
      <c r="C34" s="7" t="inlineStr">
        <is>
          <t>C</t>
        </is>
      </c>
      <c r="D34" s="12" t="inlineStr">
        <is>
          <t>01</t>
        </is>
      </c>
      <c r="E34" s="7" t="n">
        <v>2</v>
      </c>
      <c r="F34" s="7">
        <f>A34&amp;B34&amp;"-"&amp;C34&amp;E34&amp;"-"&amp;D34</f>
        <v/>
      </c>
      <c r="G34" s="7" t="n">
        <v>1034</v>
      </c>
      <c r="H34" s="47">
        <f>_xlfn.XLOOKUP(G34,'All Associates'!A:A,'All Associates'!B:B)</f>
        <v/>
      </c>
      <c r="I34" s="47">
        <f>_xlfn.XLOOKUP(G34,'All Associates'!A:A,'All Associates'!D:D)</f>
        <v/>
      </c>
      <c r="J34" s="6">
        <f>IF(G34&lt;&gt;"","Allocated","Available")</f>
        <v/>
      </c>
    </row>
    <row r="35">
      <c r="A35" s="6" t="inlineStr">
        <is>
          <t>T</t>
        </is>
      </c>
      <c r="B35" s="6" t="n">
        <v>3</v>
      </c>
      <c r="C35" s="7" t="inlineStr">
        <is>
          <t>C</t>
        </is>
      </c>
      <c r="D35" s="12" t="inlineStr">
        <is>
          <t>02</t>
        </is>
      </c>
      <c r="E35" s="7" t="n">
        <v>2</v>
      </c>
      <c r="F35" s="7">
        <f>A35&amp;B35&amp;"-"&amp;C35&amp;E35&amp;"-"&amp;D35</f>
        <v/>
      </c>
      <c r="G35" s="7" t="n">
        <v>1215</v>
      </c>
      <c r="H35" s="47">
        <f>_xlfn.XLOOKUP(G35,'All Associates'!A:A,'All Associates'!B:B)</f>
        <v/>
      </c>
      <c r="I35" s="47">
        <f>_xlfn.XLOOKUP(G35,'All Associates'!A:A,'All Associates'!D:D)</f>
        <v/>
      </c>
      <c r="J35" s="6">
        <f>IF(G35&lt;&gt;"","Allocated","Available")</f>
        <v/>
      </c>
    </row>
    <row r="36">
      <c r="A36" s="6" t="inlineStr">
        <is>
          <t>T</t>
        </is>
      </c>
      <c r="B36" s="6" t="n">
        <v>3</v>
      </c>
      <c r="C36" s="7" t="inlineStr">
        <is>
          <t>C</t>
        </is>
      </c>
      <c r="D36" s="12" t="inlineStr">
        <is>
          <t>03</t>
        </is>
      </c>
      <c r="E36" s="7" t="n">
        <v>2</v>
      </c>
      <c r="F36" s="7">
        <f>A36&amp;B36&amp;"-"&amp;C36&amp;E36&amp;"-"&amp;D36</f>
        <v/>
      </c>
      <c r="G36" s="6" t="n">
        <v>750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6">
        <f>IF(G36&lt;&gt;"","Allocated","Available")</f>
        <v/>
      </c>
    </row>
    <row r="37">
      <c r="A37" s="6" t="inlineStr">
        <is>
          <t>T</t>
        </is>
      </c>
      <c r="B37" s="6" t="n">
        <v>3</v>
      </c>
      <c r="C37" s="7" t="inlineStr">
        <is>
          <t>C</t>
        </is>
      </c>
      <c r="D37" s="12" t="inlineStr">
        <is>
          <t>04</t>
        </is>
      </c>
      <c r="E37" s="7" t="n">
        <v>2</v>
      </c>
      <c r="F37" s="7">
        <f>A37&amp;B37&amp;"-"&amp;C37&amp;E37&amp;"-"&amp;D37</f>
        <v/>
      </c>
      <c r="G37" s="7" t="n">
        <v>1100</v>
      </c>
      <c r="H37" s="47">
        <f>_xlfn.XLOOKUP(G37,'All Associates'!A:A,'All Associates'!B:B)</f>
        <v/>
      </c>
      <c r="I37" s="47">
        <f>_xlfn.XLOOKUP(G37,'All Associates'!A:A,'All Associates'!D:D)</f>
        <v/>
      </c>
      <c r="J37" s="6">
        <f>IF(G37&lt;&gt;"","Allocated","Available")</f>
        <v/>
      </c>
    </row>
    <row r="38">
      <c r="A38" s="6" t="inlineStr">
        <is>
          <t>T</t>
        </is>
      </c>
      <c r="B38" s="6" t="n">
        <v>3</v>
      </c>
      <c r="C38" s="7" t="inlineStr">
        <is>
          <t>C</t>
        </is>
      </c>
      <c r="D38" s="12" t="inlineStr">
        <is>
          <t>05</t>
        </is>
      </c>
      <c r="E38" s="7" t="n">
        <v>2</v>
      </c>
      <c r="F38" s="7">
        <f>A38&amp;B38&amp;"-"&amp;C38&amp;E38&amp;"-"&amp;D38</f>
        <v/>
      </c>
      <c r="G38" s="7" t="n"/>
      <c r="H38" s="47">
        <f>_xlfn.XLOOKUP(G38,'All Associates'!A:A,'All Associates'!B:B)</f>
        <v/>
      </c>
      <c r="I38" s="47">
        <f>_xlfn.XLOOKUP(G38,'All Associates'!A:A,'All Associates'!D:D)</f>
        <v/>
      </c>
      <c r="J38" s="6">
        <f>IF(G38&lt;&gt;"","Allocated","Available")</f>
        <v/>
      </c>
    </row>
    <row r="39">
      <c r="A39" s="6" t="inlineStr">
        <is>
          <t>T</t>
        </is>
      </c>
      <c r="B39" s="6" t="n">
        <v>3</v>
      </c>
      <c r="C39" s="7" t="inlineStr">
        <is>
          <t>C</t>
        </is>
      </c>
      <c r="D39" s="12" t="inlineStr">
        <is>
          <t>06</t>
        </is>
      </c>
      <c r="E39" s="7" t="n">
        <v>2</v>
      </c>
      <c r="F39" s="7">
        <f>A39&amp;B39&amp;"-"&amp;C39&amp;E39&amp;"-"&amp;D39</f>
        <v/>
      </c>
      <c r="G39" s="6" t="n"/>
      <c r="H39" s="47">
        <f>_xlfn.XLOOKUP(G39,'All Associates'!A:A,'All Associates'!B:B)</f>
        <v/>
      </c>
      <c r="I39" s="47">
        <f>_xlfn.XLOOKUP(G39,'All Associates'!A:A,'All Associates'!D:D)</f>
        <v/>
      </c>
      <c r="J39" s="6">
        <f>IF(G39&lt;&gt;"","Allocated","Available")</f>
        <v/>
      </c>
    </row>
    <row r="40">
      <c r="A40" s="6" t="inlineStr">
        <is>
          <t>T</t>
        </is>
      </c>
      <c r="B40" s="6" t="n">
        <v>3</v>
      </c>
      <c r="C40" s="7" t="inlineStr">
        <is>
          <t>C</t>
        </is>
      </c>
      <c r="D40" s="12" t="inlineStr">
        <is>
          <t>07</t>
        </is>
      </c>
      <c r="E40" s="7" t="n">
        <v>2</v>
      </c>
      <c r="F40" s="7">
        <f>A40&amp;B40&amp;"-"&amp;C40&amp;E40&amp;"-"&amp;D40</f>
        <v/>
      </c>
      <c r="G40" s="7" t="n"/>
      <c r="H40" s="47">
        <f>_xlfn.XLOOKUP(G40,'All Associates'!A:A,'All Associates'!B:B)</f>
        <v/>
      </c>
      <c r="I40" s="47">
        <f>_xlfn.XLOOKUP(G40,'All Associates'!A:A,'All Associates'!D:D)</f>
        <v/>
      </c>
      <c r="J40" s="6">
        <f>IF(G40&lt;&gt;"","Allocated","Available")</f>
        <v/>
      </c>
    </row>
    <row r="41">
      <c r="A41" s="6" t="inlineStr">
        <is>
          <t>T</t>
        </is>
      </c>
      <c r="B41" s="6" t="n">
        <v>3</v>
      </c>
      <c r="C41" s="7" t="inlineStr">
        <is>
          <t>C</t>
        </is>
      </c>
      <c r="D41" s="12" t="inlineStr">
        <is>
          <t>08</t>
        </is>
      </c>
      <c r="E41" s="7" t="n">
        <v>2</v>
      </c>
      <c r="F41" s="7">
        <f>A41&amp;B41&amp;"-"&amp;C41&amp;E41&amp;"-"&amp;D41</f>
        <v/>
      </c>
      <c r="G41" s="7" t="n">
        <v>69</v>
      </c>
      <c r="H41" s="47">
        <f>_xlfn.XLOOKUP(G41,'All Associates'!A:A,'All Associates'!B:B)</f>
        <v/>
      </c>
      <c r="I41" s="47">
        <f>_xlfn.XLOOKUP(G41,'All Associates'!A:A,'All Associates'!D:D)</f>
        <v/>
      </c>
      <c r="J41" s="6">
        <f>IF(G41&lt;&gt;"","Allocated","Available")</f>
        <v/>
      </c>
    </row>
    <row r="42">
      <c r="A42" s="6" t="inlineStr">
        <is>
          <t>T</t>
        </is>
      </c>
      <c r="B42" s="6" t="n">
        <v>3</v>
      </c>
      <c r="C42" s="7" t="inlineStr">
        <is>
          <t>C</t>
        </is>
      </c>
      <c r="D42" s="12" t="inlineStr">
        <is>
          <t>01</t>
        </is>
      </c>
      <c r="E42" s="7" t="n">
        <v>3</v>
      </c>
      <c r="F42" s="7">
        <f>A42&amp;B42&amp;"-"&amp;C42&amp;E42&amp;"-"&amp;D42</f>
        <v/>
      </c>
      <c r="G42" s="7" t="n">
        <v>743</v>
      </c>
      <c r="H42" s="47">
        <f>_xlfn.XLOOKUP(G42,'All Associates'!A:A,'All Associates'!B:B)</f>
        <v/>
      </c>
      <c r="I42" s="47">
        <f>_xlfn.XLOOKUP(G42,'All Associates'!A:A,'All Associates'!D:D)</f>
        <v/>
      </c>
      <c r="J42" s="6">
        <f>IF(G42&lt;&gt;"","Allocated","Available")</f>
        <v/>
      </c>
    </row>
    <row r="43">
      <c r="A43" s="6" t="inlineStr">
        <is>
          <t>T</t>
        </is>
      </c>
      <c r="B43" s="6" t="n">
        <v>3</v>
      </c>
      <c r="C43" s="7" t="inlineStr">
        <is>
          <t>C</t>
        </is>
      </c>
      <c r="D43" s="12" t="inlineStr">
        <is>
          <t>02</t>
        </is>
      </c>
      <c r="E43" s="7" t="n">
        <v>3</v>
      </c>
      <c r="F43" s="7">
        <f>A43&amp;B43&amp;"-"&amp;C43&amp;E43&amp;"-"&amp;D43</f>
        <v/>
      </c>
      <c r="G43" s="7" t="n">
        <v>2061</v>
      </c>
      <c r="H43" s="47">
        <f>_xlfn.XLOOKUP(G43,'All Associates'!A:A,'All Associates'!B:B)</f>
        <v/>
      </c>
      <c r="I43" s="47">
        <f>_xlfn.XLOOKUP(G43,'All Associates'!A:A,'All Associates'!D:D)</f>
        <v/>
      </c>
      <c r="J43" s="6">
        <f>IF(G43&lt;&gt;"","Allocated","Available")</f>
        <v/>
      </c>
    </row>
    <row r="44">
      <c r="A44" s="6" t="inlineStr">
        <is>
          <t>T</t>
        </is>
      </c>
      <c r="B44" s="6" t="n">
        <v>3</v>
      </c>
      <c r="C44" s="7" t="inlineStr">
        <is>
          <t>C</t>
        </is>
      </c>
      <c r="D44" s="12" t="inlineStr">
        <is>
          <t>03</t>
        </is>
      </c>
      <c r="E44" s="7" t="n">
        <v>3</v>
      </c>
      <c r="F44" s="6">
        <f>A44&amp;B44&amp;"-"&amp;C44&amp;E44&amp;"-"&amp;D44</f>
        <v/>
      </c>
      <c r="G44" s="7" t="n">
        <v>721</v>
      </c>
      <c r="H44" s="47">
        <f>_xlfn.XLOOKUP(G44,'All Associates'!A:A,'All Associates'!B:B)</f>
        <v/>
      </c>
      <c r="I44" s="47">
        <f>_xlfn.XLOOKUP(G44,'All Associates'!A:A,'All Associates'!D:D)</f>
        <v/>
      </c>
      <c r="J44" s="6">
        <f>IF(G44&lt;&gt;"","Allocated","Available")</f>
        <v/>
      </c>
    </row>
    <row r="45">
      <c r="A45" s="6" t="inlineStr">
        <is>
          <t>T</t>
        </is>
      </c>
      <c r="B45" s="6" t="n">
        <v>3</v>
      </c>
      <c r="C45" s="7" t="inlineStr">
        <is>
          <t>C</t>
        </is>
      </c>
      <c r="D45" s="12" t="inlineStr">
        <is>
          <t>04</t>
        </is>
      </c>
      <c r="E45" s="7" t="n">
        <v>3</v>
      </c>
      <c r="F45" s="7">
        <f>A45&amp;B45&amp;"-"&amp;C45&amp;E45&amp;"-"&amp;D45</f>
        <v/>
      </c>
      <c r="G45" s="7" t="n">
        <v>1024</v>
      </c>
      <c r="H45" s="47">
        <f>_xlfn.XLOOKUP(G45,'All Associates'!A:A,'All Associates'!B:B)</f>
        <v/>
      </c>
      <c r="I45" s="47">
        <f>_xlfn.XLOOKUP(G45,'All Associates'!A:A,'All Associates'!D:D)</f>
        <v/>
      </c>
      <c r="J45" s="6">
        <f>IF(G45&lt;&gt;"","Allocated","Available")</f>
        <v/>
      </c>
    </row>
    <row r="46">
      <c r="A46" s="6" t="inlineStr">
        <is>
          <t>T</t>
        </is>
      </c>
      <c r="B46" s="6" t="n">
        <v>3</v>
      </c>
      <c r="C46" s="7" t="inlineStr">
        <is>
          <t>C</t>
        </is>
      </c>
      <c r="D46" s="12" t="inlineStr">
        <is>
          <t>05</t>
        </is>
      </c>
      <c r="E46" s="7" t="n">
        <v>3</v>
      </c>
      <c r="F46" s="7">
        <f>A46&amp;B46&amp;"-"&amp;C46&amp;E46&amp;"-"&amp;D46</f>
        <v/>
      </c>
      <c r="G46" s="7" t="n">
        <v>2013</v>
      </c>
      <c r="H46" s="47">
        <f>_xlfn.XLOOKUP(G46,'All Associates'!A:A,'All Associates'!B:B)</f>
        <v/>
      </c>
      <c r="I46" s="47">
        <f>_xlfn.XLOOKUP(G46,'All Associates'!A:A,'All Associates'!D:D)</f>
        <v/>
      </c>
      <c r="J46" s="6">
        <f>IF(G46&lt;&gt;"","Allocated","Available")</f>
        <v/>
      </c>
    </row>
    <row r="47">
      <c r="A47" s="6" t="inlineStr">
        <is>
          <t>T</t>
        </is>
      </c>
      <c r="B47" s="6" t="n">
        <v>3</v>
      </c>
      <c r="C47" s="7" t="inlineStr">
        <is>
          <t>C</t>
        </is>
      </c>
      <c r="D47" s="12" t="inlineStr">
        <is>
          <t>06</t>
        </is>
      </c>
      <c r="E47" s="7" t="n">
        <v>3</v>
      </c>
      <c r="F47" s="7">
        <f>A47&amp;B47&amp;"-"&amp;C47&amp;E47&amp;"-"&amp;D47</f>
        <v/>
      </c>
      <c r="G47" s="7" t="n">
        <v>1018</v>
      </c>
      <c r="H47" s="47">
        <f>_xlfn.XLOOKUP(G47,'All Associates'!A:A,'All Associates'!B:B)</f>
        <v/>
      </c>
      <c r="I47" s="47">
        <f>_xlfn.XLOOKUP(G47,'All Associates'!A:A,'All Associates'!D:D)</f>
        <v/>
      </c>
      <c r="J47" s="6">
        <f>IF(G47&lt;&gt;"","Allocated","Available")</f>
        <v/>
      </c>
    </row>
    <row r="48">
      <c r="A48" s="6" t="inlineStr">
        <is>
          <t>T</t>
        </is>
      </c>
      <c r="B48" s="6" t="n">
        <v>3</v>
      </c>
      <c r="C48" s="7" t="inlineStr">
        <is>
          <t>C</t>
        </is>
      </c>
      <c r="D48" s="12" t="inlineStr">
        <is>
          <t>01</t>
        </is>
      </c>
      <c r="E48" s="7" t="n">
        <v>4</v>
      </c>
      <c r="F48" s="7">
        <f>A48&amp;B48&amp;"-"&amp;C48&amp;E48&amp;"-"&amp;D48</f>
        <v/>
      </c>
      <c r="G48" s="7" t="n">
        <v>978</v>
      </c>
      <c r="H48" s="47">
        <f>_xlfn.XLOOKUP(G48,'All Associates'!A:A,'All Associates'!B:B)</f>
        <v/>
      </c>
      <c r="I48" s="47">
        <f>_xlfn.XLOOKUP(G48,'All Associates'!A:A,'All Associates'!D:D)</f>
        <v/>
      </c>
      <c r="J48" s="6">
        <f>IF(G48&lt;&gt;"","Allocated","Available")</f>
        <v/>
      </c>
    </row>
    <row r="49">
      <c r="A49" s="6" t="inlineStr">
        <is>
          <t>T</t>
        </is>
      </c>
      <c r="B49" s="6" t="n">
        <v>3</v>
      </c>
      <c r="C49" s="7" t="inlineStr">
        <is>
          <t>C</t>
        </is>
      </c>
      <c r="D49" s="12" t="inlineStr">
        <is>
          <t>02</t>
        </is>
      </c>
      <c r="E49" s="7" t="n">
        <v>4</v>
      </c>
      <c r="F49" s="7">
        <f>A49&amp;B49&amp;"-"&amp;C49&amp;E49&amp;"-"&amp;D49</f>
        <v/>
      </c>
      <c r="G49" s="7" t="n">
        <v>229</v>
      </c>
      <c r="H49" s="47">
        <f>_xlfn.XLOOKUP(G49,'All Associates'!A:A,'All Associates'!B:B)</f>
        <v/>
      </c>
      <c r="I49" s="47">
        <f>_xlfn.XLOOKUP(G49,'All Associates'!A:A,'All Associates'!D:D)</f>
        <v/>
      </c>
      <c r="J49" s="6">
        <f>IF(G49&lt;&gt;"","Allocated","Available")</f>
        <v/>
      </c>
    </row>
    <row r="50">
      <c r="A50" s="6" t="inlineStr">
        <is>
          <t>T</t>
        </is>
      </c>
      <c r="B50" s="6" t="n">
        <v>3</v>
      </c>
      <c r="C50" s="7" t="inlineStr">
        <is>
          <t>C</t>
        </is>
      </c>
      <c r="D50" s="12" t="inlineStr">
        <is>
          <t>03</t>
        </is>
      </c>
      <c r="E50" s="7" t="n">
        <v>4</v>
      </c>
      <c r="F50" s="7">
        <f>A50&amp;B50&amp;"-"&amp;C50&amp;E50&amp;"-"&amp;D50</f>
        <v/>
      </c>
      <c r="G50" s="7" t="n">
        <v>1139</v>
      </c>
      <c r="H50" s="47">
        <f>_xlfn.XLOOKUP(G50,'All Associates'!A:A,'All Associates'!B:B)</f>
        <v/>
      </c>
      <c r="I50" s="47">
        <f>_xlfn.XLOOKUP(G50,'All Associates'!A:A,'All Associates'!D:D)</f>
        <v/>
      </c>
      <c r="J50" s="6">
        <f>IF(G50&lt;&gt;"","Allocated","Available")</f>
        <v/>
      </c>
    </row>
    <row r="51">
      <c r="A51" s="6" t="inlineStr">
        <is>
          <t>T</t>
        </is>
      </c>
      <c r="B51" s="6" t="n">
        <v>3</v>
      </c>
      <c r="C51" s="7" t="inlineStr">
        <is>
          <t>C</t>
        </is>
      </c>
      <c r="D51" s="12" t="inlineStr">
        <is>
          <t>04</t>
        </is>
      </c>
      <c r="E51" s="7" t="n">
        <v>4</v>
      </c>
      <c r="F51" s="7">
        <f>A51&amp;B51&amp;"-"&amp;C51&amp;E51&amp;"-"&amp;D51</f>
        <v/>
      </c>
      <c r="G51" s="7" t="n">
        <v>1168</v>
      </c>
      <c r="H51" s="47">
        <f>_xlfn.XLOOKUP(G51,'All Associates'!A:A,'All Associates'!B:B)</f>
        <v/>
      </c>
      <c r="I51" s="47">
        <f>_xlfn.XLOOKUP(G51,'All Associates'!A:A,'All Associates'!D:D)</f>
        <v/>
      </c>
      <c r="J51" s="6">
        <f>IF(G51&lt;&gt;"","Allocated","Available")</f>
        <v/>
      </c>
    </row>
    <row r="52">
      <c r="A52" s="6" t="inlineStr">
        <is>
          <t>T</t>
        </is>
      </c>
      <c r="B52" s="6" t="n">
        <v>3</v>
      </c>
      <c r="C52" s="7" t="inlineStr">
        <is>
          <t>C</t>
        </is>
      </c>
      <c r="D52" s="12" t="inlineStr">
        <is>
          <t>05</t>
        </is>
      </c>
      <c r="E52" s="7" t="n">
        <v>4</v>
      </c>
      <c r="F52" s="7">
        <f>A52&amp;B52&amp;"-"&amp;C52&amp;E52&amp;"-"&amp;D52</f>
        <v/>
      </c>
      <c r="G52" s="7" t="n">
        <v>388</v>
      </c>
      <c r="H52" s="47">
        <f>_xlfn.XLOOKUP(G52,'All Associates'!A:A,'All Associates'!B:B)</f>
        <v/>
      </c>
      <c r="I52" s="47">
        <f>_xlfn.XLOOKUP(G52,'All Associates'!A:A,'All Associates'!D:D)</f>
        <v/>
      </c>
      <c r="J52" s="6">
        <f>IF(G52&lt;&gt;"","Allocated","Available")</f>
        <v/>
      </c>
    </row>
    <row r="53">
      <c r="A53" s="6" t="inlineStr">
        <is>
          <t>T</t>
        </is>
      </c>
      <c r="B53" s="6" t="n">
        <v>3</v>
      </c>
      <c r="C53" s="7" t="inlineStr">
        <is>
          <t>C</t>
        </is>
      </c>
      <c r="D53" s="12" t="inlineStr">
        <is>
          <t>06</t>
        </is>
      </c>
      <c r="E53" s="7" t="n">
        <v>4</v>
      </c>
      <c r="F53" s="7">
        <f>A53&amp;B53&amp;"-"&amp;C53&amp;E53&amp;"-"&amp;D53</f>
        <v/>
      </c>
      <c r="G53" s="7" t="n">
        <v>95</v>
      </c>
      <c r="H53" s="47">
        <f>_xlfn.XLOOKUP(G53,'All Associates'!A:A,'All Associates'!B:B)</f>
        <v/>
      </c>
      <c r="I53" s="47">
        <f>_xlfn.XLOOKUP(G53,'All Associates'!A:A,'All Associates'!D:D)</f>
        <v/>
      </c>
      <c r="J53" s="6">
        <f>IF(G53&lt;&gt;"","Allocated","Available")</f>
        <v/>
      </c>
    </row>
    <row r="54">
      <c r="A54" s="6" t="inlineStr">
        <is>
          <t>T</t>
        </is>
      </c>
      <c r="B54" s="6" t="n">
        <v>3</v>
      </c>
      <c r="C54" s="7" t="inlineStr">
        <is>
          <t>C</t>
        </is>
      </c>
      <c r="D54" s="12" t="inlineStr">
        <is>
          <t>01</t>
        </is>
      </c>
      <c r="E54" s="7" t="n">
        <v>5</v>
      </c>
      <c r="F54" s="7">
        <f>A54&amp;B54&amp;"-"&amp;C54&amp;E54&amp;"-"&amp;D54</f>
        <v/>
      </c>
      <c r="G54" s="6" t="n">
        <v>447</v>
      </c>
      <c r="H54" s="47">
        <f>_xlfn.XLOOKUP(G54,'All Associates'!A:A,'All Associates'!B:B)</f>
        <v/>
      </c>
      <c r="I54" s="47">
        <f>_xlfn.XLOOKUP(G54,'All Associates'!A:A,'All Associates'!D:D)</f>
        <v/>
      </c>
      <c r="J54" s="6">
        <f>IF(G54&lt;&gt;"","Allocated","Available")</f>
        <v/>
      </c>
    </row>
    <row r="55">
      <c r="A55" s="6" t="inlineStr">
        <is>
          <t>T</t>
        </is>
      </c>
      <c r="B55" s="6" t="n">
        <v>3</v>
      </c>
      <c r="C55" s="7" t="inlineStr">
        <is>
          <t>C</t>
        </is>
      </c>
      <c r="D55" s="12" t="inlineStr">
        <is>
          <t>02</t>
        </is>
      </c>
      <c r="E55" s="7" t="n">
        <v>5</v>
      </c>
      <c r="F55" s="7">
        <f>A55&amp;B55&amp;"-"&amp;C55&amp;E55&amp;"-"&amp;D55</f>
        <v/>
      </c>
      <c r="G55" s="7" t="n"/>
      <c r="H55" s="47">
        <f>_xlfn.XLOOKUP(G55,'All Associates'!A:A,'All Associates'!B:B)</f>
        <v/>
      </c>
      <c r="I55" s="47">
        <f>_xlfn.XLOOKUP(G55,'All Associates'!A:A,'All Associates'!D:D)</f>
        <v/>
      </c>
      <c r="J55" s="6">
        <f>IF(G55&lt;&gt;"","Allocated","Available")</f>
        <v/>
      </c>
    </row>
    <row r="56">
      <c r="A56" s="6" t="inlineStr">
        <is>
          <t>T</t>
        </is>
      </c>
      <c r="B56" s="6" t="n">
        <v>3</v>
      </c>
      <c r="C56" s="7" t="inlineStr">
        <is>
          <t>C</t>
        </is>
      </c>
      <c r="D56" s="12" t="inlineStr">
        <is>
          <t>03</t>
        </is>
      </c>
      <c r="E56" s="7" t="n">
        <v>5</v>
      </c>
      <c r="F56" s="7">
        <f>A56&amp;B56&amp;"-"&amp;C56&amp;E56&amp;"-"&amp;D56</f>
        <v/>
      </c>
      <c r="G56" s="6" t="n">
        <v>917</v>
      </c>
      <c r="H56" s="47">
        <f>_xlfn.XLOOKUP(G56,'All Associates'!A:A,'All Associates'!B:B)</f>
        <v/>
      </c>
      <c r="I56" s="47">
        <f>_xlfn.XLOOKUP(G56,'All Associates'!A:A,'All Associates'!D:D)</f>
        <v/>
      </c>
      <c r="J56" s="6">
        <f>IF(G56&lt;&gt;"","Allocated","Available")</f>
        <v/>
      </c>
    </row>
    <row r="57">
      <c r="A57" s="6" t="inlineStr">
        <is>
          <t>T</t>
        </is>
      </c>
      <c r="B57" s="6" t="n">
        <v>3</v>
      </c>
      <c r="C57" s="7" t="inlineStr">
        <is>
          <t>C</t>
        </is>
      </c>
      <c r="D57" s="12" t="inlineStr">
        <is>
          <t>04</t>
        </is>
      </c>
      <c r="E57" s="7" t="n">
        <v>5</v>
      </c>
      <c r="F57" s="7">
        <f>A57&amp;B57&amp;"-"&amp;C57&amp;E57&amp;"-"&amp;D57</f>
        <v/>
      </c>
      <c r="G57" s="6" t="n">
        <v>895</v>
      </c>
      <c r="H57" s="47">
        <f>_xlfn.XLOOKUP(G57,'All Associates'!A:A,'All Associates'!B:B)</f>
        <v/>
      </c>
      <c r="I57" s="47">
        <f>_xlfn.XLOOKUP(G57,'All Associates'!A:A,'All Associates'!D:D)</f>
        <v/>
      </c>
      <c r="J57" s="6">
        <f>IF(G57&lt;&gt;"","Allocated","Available")</f>
        <v/>
      </c>
    </row>
    <row r="58">
      <c r="A58" s="6" t="inlineStr">
        <is>
          <t>T</t>
        </is>
      </c>
      <c r="B58" s="6" t="n">
        <v>3</v>
      </c>
      <c r="C58" s="7" t="inlineStr">
        <is>
          <t>C</t>
        </is>
      </c>
      <c r="D58" s="12" t="inlineStr">
        <is>
          <t>05</t>
        </is>
      </c>
      <c r="E58" s="7" t="n">
        <v>5</v>
      </c>
      <c r="F58" s="7">
        <f>A58&amp;B58&amp;"-"&amp;C58&amp;E58&amp;"-"&amp;D58</f>
        <v/>
      </c>
      <c r="G58" s="6" t="n">
        <v>1023</v>
      </c>
      <c r="H58" s="47">
        <f>_xlfn.XLOOKUP(G58,'All Associates'!A:A,'All Associates'!B:B)</f>
        <v/>
      </c>
      <c r="I58" s="47">
        <f>_xlfn.XLOOKUP(G58,'All Associates'!A:A,'All Associates'!D:D)</f>
        <v/>
      </c>
      <c r="J58" s="6">
        <f>IF(G58&lt;&gt;"","Allocated","Available")</f>
        <v/>
      </c>
    </row>
    <row r="59">
      <c r="A59" s="6" t="inlineStr">
        <is>
          <t>T</t>
        </is>
      </c>
      <c r="B59" s="6" t="n">
        <v>3</v>
      </c>
      <c r="C59" s="7" t="inlineStr">
        <is>
          <t>C</t>
        </is>
      </c>
      <c r="D59" s="12" t="inlineStr">
        <is>
          <t>06</t>
        </is>
      </c>
      <c r="E59" s="7" t="n">
        <v>5</v>
      </c>
      <c r="F59" s="7">
        <f>A59&amp;B59&amp;"-"&amp;C59&amp;E59&amp;"-"&amp;D59</f>
        <v/>
      </c>
      <c r="G59" s="7" t="n">
        <v>1149</v>
      </c>
      <c r="H59" s="47">
        <f>_xlfn.XLOOKUP(G59,'All Associates'!A:A,'All Associates'!B:B)</f>
        <v/>
      </c>
      <c r="I59" s="47">
        <f>_xlfn.XLOOKUP(G59,'All Associates'!A:A,'All Associates'!D:D)</f>
        <v/>
      </c>
      <c r="J59" s="6">
        <f>IF(G59&lt;&gt;"","Allocated","Available")</f>
        <v/>
      </c>
    </row>
    <row r="60">
      <c r="A60" s="6" t="inlineStr">
        <is>
          <t>T</t>
        </is>
      </c>
      <c r="B60" s="6" t="n">
        <v>3</v>
      </c>
      <c r="C60" s="7" t="inlineStr">
        <is>
          <t>C</t>
        </is>
      </c>
      <c r="D60" s="12" t="inlineStr">
        <is>
          <t>01</t>
        </is>
      </c>
      <c r="E60" s="7" t="n">
        <v>6</v>
      </c>
      <c r="F60" s="7">
        <f>A60&amp;B60&amp;"-"&amp;C60&amp;E60&amp;"-"&amp;D60</f>
        <v/>
      </c>
      <c r="G60" s="6" t="n">
        <v>897</v>
      </c>
      <c r="H60" s="47">
        <f>_xlfn.XLOOKUP(G60,'All Associates'!A:A,'All Associates'!B:B)</f>
        <v/>
      </c>
      <c r="I60" s="47">
        <f>_xlfn.XLOOKUP(G60,'All Associates'!A:A,'All Associates'!D:D)</f>
        <v/>
      </c>
      <c r="J60" s="6">
        <f>IF(G60&lt;&gt;"","Allocated","Available")</f>
        <v/>
      </c>
    </row>
    <row r="61">
      <c r="A61" s="6" t="inlineStr">
        <is>
          <t>T</t>
        </is>
      </c>
      <c r="B61" s="6" t="n">
        <v>3</v>
      </c>
      <c r="C61" s="7" t="inlineStr">
        <is>
          <t>C</t>
        </is>
      </c>
      <c r="D61" s="12" t="inlineStr">
        <is>
          <t>02</t>
        </is>
      </c>
      <c r="E61" s="7" t="n">
        <v>6</v>
      </c>
      <c r="F61" s="7">
        <f>A61&amp;B61&amp;"-"&amp;C61&amp;E61&amp;"-"&amp;D61</f>
        <v/>
      </c>
      <c r="G61" s="7" t="n">
        <v>833</v>
      </c>
      <c r="H61" s="47">
        <f>_xlfn.XLOOKUP(G61,'All Associates'!A:A,'All Associates'!B:B)</f>
        <v/>
      </c>
      <c r="I61" s="47">
        <f>_xlfn.XLOOKUP(G61,'All Associates'!A:A,'All Associates'!D:D)</f>
        <v/>
      </c>
      <c r="J61" s="6">
        <f>IF(G61&lt;&gt;"","Allocated","Available")</f>
        <v/>
      </c>
    </row>
    <row r="62">
      <c r="A62" s="6" t="inlineStr">
        <is>
          <t>T</t>
        </is>
      </c>
      <c r="B62" s="6" t="n">
        <v>3</v>
      </c>
      <c r="C62" s="7" t="inlineStr">
        <is>
          <t>C</t>
        </is>
      </c>
      <c r="D62" s="12" t="inlineStr">
        <is>
          <t>03</t>
        </is>
      </c>
      <c r="E62" s="7" t="n">
        <v>6</v>
      </c>
      <c r="F62" s="7">
        <f>A62&amp;B62&amp;"-"&amp;C62&amp;E62&amp;"-"&amp;D62</f>
        <v/>
      </c>
      <c r="G62" s="6" t="n">
        <v>1219</v>
      </c>
      <c r="H62" s="47">
        <f>_xlfn.XLOOKUP(G62,'All Associates'!A:A,'All Associates'!B:B)</f>
        <v/>
      </c>
      <c r="I62" s="47">
        <f>_xlfn.XLOOKUP(G62,'All Associates'!A:A,'All Associates'!D:D)</f>
        <v/>
      </c>
      <c r="J62" s="6">
        <f>IF(G62&lt;&gt;"","Allocated","Available")</f>
        <v/>
      </c>
    </row>
    <row r="63">
      <c r="A63" s="6" t="inlineStr">
        <is>
          <t>T</t>
        </is>
      </c>
      <c r="B63" s="6" t="n">
        <v>3</v>
      </c>
      <c r="C63" s="7" t="inlineStr">
        <is>
          <t>C</t>
        </is>
      </c>
      <c r="D63" s="12" t="inlineStr">
        <is>
          <t>04</t>
        </is>
      </c>
      <c r="E63" s="7" t="n">
        <v>6</v>
      </c>
      <c r="F63" s="7">
        <f>A63&amp;B63&amp;"-"&amp;C63&amp;E63&amp;"-"&amp;D63</f>
        <v/>
      </c>
      <c r="G63" s="6" t="n">
        <v>893</v>
      </c>
      <c r="H63" s="47">
        <f>_xlfn.XLOOKUP(G63,'All Associates'!A:A,'All Associates'!B:B)</f>
        <v/>
      </c>
      <c r="I63" s="47">
        <f>_xlfn.XLOOKUP(G63,'All Associates'!A:A,'All Associates'!D:D)</f>
        <v/>
      </c>
      <c r="J63" s="6">
        <f>IF(G63&lt;&gt;"","Allocated","Available")</f>
        <v/>
      </c>
    </row>
    <row r="64">
      <c r="A64" s="6" t="inlineStr">
        <is>
          <t>T</t>
        </is>
      </c>
      <c r="B64" s="6" t="n">
        <v>3</v>
      </c>
      <c r="C64" s="7" t="inlineStr">
        <is>
          <t>C</t>
        </is>
      </c>
      <c r="D64" s="12" t="inlineStr">
        <is>
          <t>05</t>
        </is>
      </c>
      <c r="E64" s="7" t="n">
        <v>6</v>
      </c>
      <c r="F64" s="7">
        <f>A64&amp;B64&amp;"-"&amp;C64&amp;E64&amp;"-"&amp;D64</f>
        <v/>
      </c>
      <c r="G64" s="7" t="n"/>
      <c r="H64" s="47">
        <f>_xlfn.XLOOKUP(G64,'All Associates'!A:A,'All Associates'!B:B)</f>
        <v/>
      </c>
      <c r="I64" s="47">
        <f>_xlfn.XLOOKUP(G64,'All Associates'!A:A,'All Associates'!D:D)</f>
        <v/>
      </c>
      <c r="J64" s="6" t="inlineStr">
        <is>
          <t>HW</t>
        </is>
      </c>
    </row>
    <row r="65">
      <c r="A65" s="6" t="inlineStr">
        <is>
          <t>T</t>
        </is>
      </c>
      <c r="B65" s="6" t="n">
        <v>3</v>
      </c>
      <c r="C65" s="7" t="inlineStr">
        <is>
          <t>C</t>
        </is>
      </c>
      <c r="D65" s="12" t="inlineStr">
        <is>
          <t>06</t>
        </is>
      </c>
      <c r="E65" s="7" t="n">
        <v>6</v>
      </c>
      <c r="F65" s="7">
        <f>A65&amp;B65&amp;"-"&amp;C65&amp;E65&amp;"-"&amp;D65</f>
        <v/>
      </c>
      <c r="G65" s="7" t="n">
        <v>539</v>
      </c>
      <c r="H65" s="47">
        <f>_xlfn.XLOOKUP(G65,'All Associates'!A:A,'All Associates'!B:B)</f>
        <v/>
      </c>
      <c r="I65" s="47">
        <f>_xlfn.XLOOKUP(G65,'All Associates'!A:A,'All Associates'!D:D)</f>
        <v/>
      </c>
      <c r="J65" s="6">
        <f>IF(G65&lt;&gt;"","Allocated","Available")</f>
        <v/>
      </c>
    </row>
    <row r="66">
      <c r="A66" s="6" t="inlineStr">
        <is>
          <t>T</t>
        </is>
      </c>
      <c r="B66" s="6" t="n">
        <v>3</v>
      </c>
      <c r="C66" s="7" t="inlineStr">
        <is>
          <t>C</t>
        </is>
      </c>
      <c r="D66" s="12" t="inlineStr">
        <is>
          <t>01</t>
        </is>
      </c>
      <c r="E66" s="7" t="n">
        <v>7</v>
      </c>
      <c r="F66" s="7">
        <f>A66&amp;B66&amp;"-"&amp;C66&amp;E66&amp;"-"&amp;D66</f>
        <v/>
      </c>
      <c r="G66" s="7" t="n"/>
      <c r="H66" s="47">
        <f>_xlfn.XLOOKUP(G66,'All Associates'!A:A,'All Associates'!B:B)</f>
        <v/>
      </c>
      <c r="I66" s="47">
        <f>_xlfn.XLOOKUP(G66,'All Associates'!A:A,'All Associates'!D:D)</f>
        <v/>
      </c>
      <c r="J66" s="6" t="inlineStr">
        <is>
          <t>HW</t>
        </is>
      </c>
    </row>
    <row r="67">
      <c r="A67" s="6" t="inlineStr">
        <is>
          <t>T</t>
        </is>
      </c>
      <c r="B67" s="6" t="n">
        <v>3</v>
      </c>
      <c r="C67" s="7" t="inlineStr">
        <is>
          <t>D</t>
        </is>
      </c>
      <c r="D67" s="12" t="inlineStr">
        <is>
          <t>01</t>
        </is>
      </c>
      <c r="E67" s="7" t="inlineStr">
        <is>
          <t>M1</t>
        </is>
      </c>
      <c r="F67" s="7">
        <f>A67&amp;B67&amp;"-"&amp;C67&amp;E67&amp;"-"&amp;D67</f>
        <v/>
      </c>
      <c r="G67" s="6" t="n">
        <v>983</v>
      </c>
      <c r="H67" s="47">
        <f>_xlfn.XLOOKUP(G67,'All Associates'!A:A,'All Associates'!B:B)</f>
        <v/>
      </c>
      <c r="I67" s="47">
        <f>_xlfn.XLOOKUP(G67,'All Associates'!A:A,'All Associates'!D:D)</f>
        <v/>
      </c>
      <c r="J67" s="6">
        <f>IF(G67&lt;&gt;"","Allocated","Available")</f>
        <v/>
      </c>
    </row>
    <row r="68">
      <c r="A68" s="6" t="inlineStr">
        <is>
          <t>T</t>
        </is>
      </c>
      <c r="B68" s="6" t="n">
        <v>3</v>
      </c>
      <c r="C68" s="7" t="inlineStr">
        <is>
          <t>D</t>
        </is>
      </c>
      <c r="D68" s="12" t="inlineStr">
        <is>
          <t>02</t>
        </is>
      </c>
      <c r="E68" s="7" t="inlineStr">
        <is>
          <t>M1</t>
        </is>
      </c>
      <c r="F68" s="7">
        <f>A68&amp;B68&amp;"-"&amp;C68&amp;E68&amp;"-"&amp;D68</f>
        <v/>
      </c>
      <c r="G68" s="7" t="n">
        <v>1232</v>
      </c>
      <c r="H68" s="47">
        <f>_xlfn.XLOOKUP(G68,'All Associates'!A:A,'All Associates'!B:B)</f>
        <v/>
      </c>
      <c r="I68" s="47">
        <f>_xlfn.XLOOKUP(G68,'All Associates'!A:A,'All Associates'!D:D)</f>
        <v/>
      </c>
      <c r="J68" s="6">
        <f>IF(G68&lt;&gt;"","Allocated","Available")</f>
        <v/>
      </c>
    </row>
    <row r="69">
      <c r="A69" s="6" t="inlineStr">
        <is>
          <t>T</t>
        </is>
      </c>
      <c r="B69" s="6" t="n">
        <v>3</v>
      </c>
      <c r="C69" s="7" t="inlineStr">
        <is>
          <t>D</t>
        </is>
      </c>
      <c r="D69" s="12" t="inlineStr">
        <is>
          <t>03</t>
        </is>
      </c>
      <c r="E69" s="7" t="inlineStr">
        <is>
          <t>M1</t>
        </is>
      </c>
      <c r="F69" s="7">
        <f>A69&amp;B69&amp;"-"&amp;C69&amp;E69&amp;"-"&amp;D69</f>
        <v/>
      </c>
      <c r="G69" s="7" t="n">
        <v>1245</v>
      </c>
      <c r="H69" s="47">
        <f>_xlfn.XLOOKUP(G69,'All Associates'!A:A,'All Associates'!B:B)</f>
        <v/>
      </c>
      <c r="I69" s="47">
        <f>_xlfn.XLOOKUP(G69,'All Associates'!A:A,'All Associates'!D:D)</f>
        <v/>
      </c>
      <c r="J69" s="6">
        <f>IF(G69&lt;&gt;"","Allocated","Available")</f>
        <v/>
      </c>
    </row>
    <row r="70">
      <c r="A70" s="6" t="inlineStr">
        <is>
          <t>T</t>
        </is>
      </c>
      <c r="B70" s="6" t="n">
        <v>3</v>
      </c>
      <c r="C70" s="6" t="inlineStr">
        <is>
          <t>D</t>
        </is>
      </c>
      <c r="D70" s="12" t="inlineStr">
        <is>
          <t>01</t>
        </is>
      </c>
      <c r="E70" s="7" t="inlineStr">
        <is>
          <t>M2</t>
        </is>
      </c>
      <c r="F70" s="7">
        <f>A70&amp;B70&amp;"-"&amp;C70&amp;E70&amp;"-"&amp;D70</f>
        <v/>
      </c>
      <c r="G70" s="7" t="n"/>
      <c r="H70" s="47">
        <f>_xlfn.XLOOKUP(G70,'All Associates'!A:A,'All Associates'!B:B)</f>
        <v/>
      </c>
      <c r="I70" s="47">
        <f>_xlfn.XLOOKUP(G70,'All Associates'!A:A,'All Associates'!D:D)</f>
        <v/>
      </c>
      <c r="J70" s="6" t="inlineStr">
        <is>
          <t>Available</t>
        </is>
      </c>
    </row>
    <row r="71">
      <c r="A71" s="6" t="inlineStr">
        <is>
          <t>T</t>
        </is>
      </c>
      <c r="B71" s="6" t="n">
        <v>3</v>
      </c>
      <c r="C71" s="6" t="inlineStr">
        <is>
          <t>D</t>
        </is>
      </c>
      <c r="D71" s="12" t="inlineStr">
        <is>
          <t>01</t>
        </is>
      </c>
      <c r="E71" s="7" t="inlineStr">
        <is>
          <t>M3</t>
        </is>
      </c>
      <c r="F71" s="7">
        <f>A71&amp;B71&amp;"-"&amp;C71&amp;E71&amp;"-"&amp;D71</f>
        <v/>
      </c>
      <c r="G71" s="7" t="n">
        <v>925</v>
      </c>
      <c r="H71" s="47">
        <f>_xlfn.XLOOKUP(G71,'All Associates'!A:A,'All Associates'!B:B)</f>
        <v/>
      </c>
      <c r="I71" s="47">
        <f>_xlfn.XLOOKUP(G71,'All Associates'!A:A,'All Associates'!D:D)</f>
        <v/>
      </c>
      <c r="J71" s="6">
        <f>IF(G71&lt;&gt;"","Allocated","Available")</f>
        <v/>
      </c>
    </row>
    <row r="72">
      <c r="A72" s="6" t="inlineStr">
        <is>
          <t>T</t>
        </is>
      </c>
      <c r="B72" s="6" t="n">
        <v>3</v>
      </c>
      <c r="C72" s="6" t="inlineStr">
        <is>
          <t>D</t>
        </is>
      </c>
      <c r="D72" s="12" t="inlineStr">
        <is>
          <t>02</t>
        </is>
      </c>
      <c r="E72" s="7" t="inlineStr">
        <is>
          <t>M3</t>
        </is>
      </c>
      <c r="F72" s="7">
        <f>A72&amp;B72&amp;"-"&amp;C72&amp;E72&amp;"-"&amp;D72</f>
        <v/>
      </c>
      <c r="G72" s="7" t="n">
        <v>1188</v>
      </c>
      <c r="H72" s="47">
        <f>_xlfn.XLOOKUP(G72,'All Associates'!A:A,'All Associates'!B:B)</f>
        <v/>
      </c>
      <c r="I72" s="47">
        <f>_xlfn.XLOOKUP(G72,'All Associates'!A:A,'All Associates'!D:D)</f>
        <v/>
      </c>
      <c r="J72" s="6">
        <f>IF(G72&lt;&gt;"","Allocated","Available")</f>
        <v/>
      </c>
    </row>
    <row r="73">
      <c r="A73" s="6" t="inlineStr">
        <is>
          <t>T</t>
        </is>
      </c>
      <c r="B73" s="6" t="n">
        <v>3</v>
      </c>
      <c r="C73" s="6" t="inlineStr">
        <is>
          <t>D</t>
        </is>
      </c>
      <c r="D73" s="12" t="inlineStr">
        <is>
          <t>01</t>
        </is>
      </c>
      <c r="E73" s="7" t="inlineStr">
        <is>
          <t>M4</t>
        </is>
      </c>
      <c r="F73" s="7">
        <f>A73&amp;B73&amp;"-"&amp;C73&amp;E73&amp;"-"&amp;D73</f>
        <v/>
      </c>
      <c r="G73" s="7" t="n">
        <v>597</v>
      </c>
      <c r="H73" s="47">
        <f>_xlfn.XLOOKUP(G73,'All Associates'!A:A,'All Associates'!B:B)</f>
        <v/>
      </c>
      <c r="I73" s="47">
        <f>_xlfn.XLOOKUP(G73,'All Associates'!A:A,'All Associates'!D:D)</f>
        <v/>
      </c>
      <c r="J73" s="6">
        <f>IF(G73&lt;&gt;"","Allocated","Available")</f>
        <v/>
      </c>
    </row>
    <row r="74">
      <c r="A74" s="6" t="inlineStr">
        <is>
          <t>T</t>
        </is>
      </c>
      <c r="B74" s="6" t="n">
        <v>3</v>
      </c>
      <c r="C74" s="6" t="inlineStr">
        <is>
          <t>D</t>
        </is>
      </c>
      <c r="D74" s="12" t="inlineStr">
        <is>
          <t>01</t>
        </is>
      </c>
      <c r="E74" s="7" t="n">
        <v>1</v>
      </c>
      <c r="F74" s="7">
        <f>A74&amp;B74&amp;"-"&amp;C74&amp;E74&amp;"-"&amp;D74</f>
        <v/>
      </c>
      <c r="G74" s="40" t="n">
        <v>116</v>
      </c>
      <c r="H74" s="47">
        <f>_xlfn.XLOOKUP(G74,'All Associates'!A:A,'All Associates'!B:B)</f>
        <v/>
      </c>
      <c r="I74" s="47">
        <f>_xlfn.XLOOKUP(G74,'All Associates'!A:A,'All Associates'!D:D)</f>
        <v/>
      </c>
      <c r="J74" s="6">
        <f>IF(G74&lt;&gt;"","Allocated","Available")</f>
        <v/>
      </c>
    </row>
    <row r="75">
      <c r="A75" s="6" t="inlineStr">
        <is>
          <t>T</t>
        </is>
      </c>
      <c r="B75" s="6" t="n">
        <v>3</v>
      </c>
      <c r="C75" s="6" t="inlineStr">
        <is>
          <t>D</t>
        </is>
      </c>
      <c r="D75" s="12" t="inlineStr">
        <is>
          <t>02</t>
        </is>
      </c>
      <c r="E75" s="7" t="n">
        <v>1</v>
      </c>
      <c r="F75" s="7">
        <f>A75&amp;B75&amp;"-"&amp;C75&amp;E75&amp;"-"&amp;D75</f>
        <v/>
      </c>
      <c r="G75" s="40" t="n">
        <v>915</v>
      </c>
      <c r="H75" s="47">
        <f>_xlfn.XLOOKUP(G75,'All Associates'!A:A,'All Associates'!B:B)</f>
        <v/>
      </c>
      <c r="I75" s="47">
        <f>_xlfn.XLOOKUP(G75,'All Associates'!A:A,'All Associates'!D:D)</f>
        <v/>
      </c>
      <c r="J75" s="6">
        <f>IF(G75&lt;&gt;"","Allocated","Available")</f>
        <v/>
      </c>
    </row>
    <row r="76">
      <c r="A76" s="6" t="inlineStr">
        <is>
          <t>T</t>
        </is>
      </c>
      <c r="B76" s="6" t="n">
        <v>3</v>
      </c>
      <c r="C76" s="6" t="inlineStr">
        <is>
          <t>D</t>
        </is>
      </c>
      <c r="D76" s="12" t="inlineStr">
        <is>
          <t>03</t>
        </is>
      </c>
      <c r="E76" s="7" t="n">
        <v>1</v>
      </c>
      <c r="F76" s="7">
        <f>A76&amp;B76&amp;"-"&amp;C76&amp;E76&amp;"-"&amp;D76</f>
        <v/>
      </c>
      <c r="G76" s="40" t="n"/>
      <c r="H76" s="47">
        <f>_xlfn.XLOOKUP(G76,'All Associates'!A:A,'All Associates'!B:B)</f>
        <v/>
      </c>
      <c r="I76" s="47">
        <f>_xlfn.XLOOKUP(G76,'All Associates'!A:A,'All Associates'!D:D)</f>
        <v/>
      </c>
      <c r="J76" s="6">
        <f>IF(G76&lt;&gt;"","Allocated","Available")</f>
        <v/>
      </c>
    </row>
    <row r="77">
      <c r="A77" s="6" t="inlineStr">
        <is>
          <t>T</t>
        </is>
      </c>
      <c r="B77" s="6" t="n">
        <v>3</v>
      </c>
      <c r="C77" s="6" t="inlineStr">
        <is>
          <t>D</t>
        </is>
      </c>
      <c r="D77" s="12" t="inlineStr">
        <is>
          <t>04</t>
        </is>
      </c>
      <c r="E77" s="7" t="n">
        <v>1</v>
      </c>
      <c r="F77" s="7">
        <f>A77&amp;B77&amp;"-"&amp;C77&amp;E77&amp;"-"&amp;D77</f>
        <v/>
      </c>
      <c r="G77" s="7" t="n">
        <v>274</v>
      </c>
      <c r="H77" s="47">
        <f>_xlfn.XLOOKUP(G77,'All Associates'!A:A,'All Associates'!B:B)</f>
        <v/>
      </c>
      <c r="I77" s="47">
        <f>_xlfn.XLOOKUP(G77,'All Associates'!A:A,'All Associates'!D:D)</f>
        <v/>
      </c>
      <c r="J77" s="6">
        <f>IF(G77&lt;&gt;"","Allocated","Available")</f>
        <v/>
      </c>
    </row>
    <row r="78">
      <c r="A78" s="53" t="inlineStr">
        <is>
          <t>T</t>
        </is>
      </c>
      <c r="B78" s="53" t="n">
        <v>3</v>
      </c>
      <c r="C78" s="53" t="inlineStr">
        <is>
          <t>D</t>
        </is>
      </c>
      <c r="D78" s="55" t="inlineStr">
        <is>
          <t>05</t>
        </is>
      </c>
      <c r="E78" s="54" t="n">
        <v>1</v>
      </c>
      <c r="F78" s="54">
        <f>A78&amp;B78&amp;"-"&amp;C78&amp;E78&amp;"-"&amp;D78</f>
        <v/>
      </c>
      <c r="G78" s="54" t="n"/>
      <c r="H78" s="56" t="n"/>
      <c r="I78" s="56" t="n"/>
      <c r="J78" s="53" t="n"/>
    </row>
    <row r="79">
      <c r="A79" s="53" t="inlineStr">
        <is>
          <t>T</t>
        </is>
      </c>
      <c r="B79" s="53" t="n">
        <v>3</v>
      </c>
      <c r="C79" s="53" t="inlineStr">
        <is>
          <t>D</t>
        </is>
      </c>
      <c r="D79" s="55" t="inlineStr">
        <is>
          <t>06</t>
        </is>
      </c>
      <c r="E79" s="54" t="n">
        <v>1</v>
      </c>
      <c r="F79" s="54">
        <f>A79&amp;B79&amp;"-"&amp;C79&amp;E79&amp;"-"&amp;D79</f>
        <v/>
      </c>
      <c r="G79" s="54" t="n"/>
      <c r="H79" s="56" t="n"/>
      <c r="I79" s="56" t="n"/>
      <c r="J79" s="53" t="n"/>
    </row>
    <row r="80">
      <c r="A80" s="6" t="inlineStr">
        <is>
          <t>T</t>
        </is>
      </c>
      <c r="B80" s="6" t="n">
        <v>3</v>
      </c>
      <c r="C80" s="6" t="inlineStr">
        <is>
          <t>D</t>
        </is>
      </c>
      <c r="D80" s="12" t="inlineStr">
        <is>
          <t>01</t>
        </is>
      </c>
      <c r="E80" s="7" t="n">
        <v>2</v>
      </c>
      <c r="F80" s="7">
        <f>A80&amp;B80&amp;"-"&amp;C80&amp;E80&amp;"-"&amp;D80</f>
        <v/>
      </c>
      <c r="G80" s="40" t="n"/>
      <c r="H80" s="47">
        <f>_xlfn.XLOOKUP(G80,'All Associates'!A:A,'All Associates'!B:B)</f>
        <v/>
      </c>
      <c r="I80" s="47">
        <f>_xlfn.XLOOKUP(G80,'All Associates'!A:A,'All Associates'!D:D)</f>
        <v/>
      </c>
      <c r="J80" s="6">
        <f>IF(G80&lt;&gt;"","Allocated","Available")</f>
        <v/>
      </c>
    </row>
    <row r="81">
      <c r="A81" s="6" t="inlineStr">
        <is>
          <t>T</t>
        </is>
      </c>
      <c r="B81" s="6" t="n">
        <v>3</v>
      </c>
      <c r="C81" s="6" t="inlineStr">
        <is>
          <t>D</t>
        </is>
      </c>
      <c r="D81" s="12" t="inlineStr">
        <is>
          <t>02</t>
        </is>
      </c>
      <c r="E81" s="7" t="n">
        <v>2</v>
      </c>
      <c r="F81" s="7">
        <f>A81&amp;B81&amp;"-"&amp;C81&amp;E81&amp;"-"&amp;D81</f>
        <v/>
      </c>
      <c r="G81" s="40" t="n">
        <v>358</v>
      </c>
      <c r="H81" s="47">
        <f>_xlfn.XLOOKUP(G81,'All Associates'!A:A,'All Associates'!B:B)</f>
        <v/>
      </c>
      <c r="I81" s="47">
        <f>_xlfn.XLOOKUP(G81,'All Associates'!A:A,'All Associates'!D:D)</f>
        <v/>
      </c>
      <c r="J81" s="6">
        <f>IF(G81&lt;&gt;"","Allocated","Available")</f>
        <v/>
      </c>
    </row>
    <row r="82">
      <c r="A82" s="6" t="inlineStr">
        <is>
          <t>T</t>
        </is>
      </c>
      <c r="B82" s="6" t="n">
        <v>3</v>
      </c>
      <c r="C82" s="6" t="inlineStr">
        <is>
          <t>D</t>
        </is>
      </c>
      <c r="D82" s="12" t="inlineStr">
        <is>
          <t>03</t>
        </is>
      </c>
      <c r="E82" s="7" t="n">
        <v>2</v>
      </c>
      <c r="F82" s="7">
        <f>A82&amp;B82&amp;"-"&amp;C82&amp;E82&amp;"-"&amp;D82</f>
        <v/>
      </c>
      <c r="G82" s="40" t="n"/>
      <c r="H82" s="47">
        <f>_xlfn.XLOOKUP(G82,'All Associates'!A:A,'All Associates'!B:B)</f>
        <v/>
      </c>
      <c r="I82" s="47">
        <f>_xlfn.XLOOKUP(G82,'All Associates'!A:A,'All Associates'!D:D)</f>
        <v/>
      </c>
      <c r="J82" s="6">
        <f>IF(G82&lt;&gt;"","Allocated","Available")</f>
        <v/>
      </c>
    </row>
    <row r="83">
      <c r="A83" s="6" t="inlineStr">
        <is>
          <t>T</t>
        </is>
      </c>
      <c r="B83" s="6" t="n">
        <v>3</v>
      </c>
      <c r="C83" s="6" t="inlineStr">
        <is>
          <t>D</t>
        </is>
      </c>
      <c r="D83" s="12" t="inlineStr">
        <is>
          <t>04</t>
        </is>
      </c>
      <c r="E83" s="7" t="n">
        <v>2</v>
      </c>
      <c r="F83" s="7">
        <f>A83&amp;B83&amp;"-"&amp;C83&amp;E83&amp;"-"&amp;D83</f>
        <v/>
      </c>
      <c r="G83" s="40" t="n">
        <v>941</v>
      </c>
      <c r="H83" s="47">
        <f>_xlfn.XLOOKUP(G83,'All Associates'!A:A,'All Associates'!B:B)</f>
        <v/>
      </c>
      <c r="I83" s="47">
        <f>_xlfn.XLOOKUP(G83,'All Associates'!A:A,'All Associates'!D:D)</f>
        <v/>
      </c>
      <c r="J83" s="6">
        <f>IF(G83&lt;&gt;"","Allocated","Available")</f>
        <v/>
      </c>
    </row>
    <row r="84">
      <c r="A84" s="53" t="inlineStr">
        <is>
          <t>T</t>
        </is>
      </c>
      <c r="B84" s="53" t="n">
        <v>3</v>
      </c>
      <c r="C84" s="53" t="inlineStr">
        <is>
          <t>D</t>
        </is>
      </c>
      <c r="D84" s="55" t="inlineStr">
        <is>
          <t>05</t>
        </is>
      </c>
      <c r="E84" s="54" t="n">
        <v>2</v>
      </c>
      <c r="F84" s="54">
        <f>A84&amp;B84&amp;"-"&amp;C84&amp;E84&amp;"-"&amp;D84</f>
        <v/>
      </c>
      <c r="G84" s="54" t="n"/>
      <c r="H84" s="56" t="n"/>
      <c r="I84" s="56" t="n"/>
      <c r="J84" s="53" t="n"/>
    </row>
    <row r="85">
      <c r="A85" s="53" t="inlineStr">
        <is>
          <t>T</t>
        </is>
      </c>
      <c r="B85" s="53" t="n">
        <v>3</v>
      </c>
      <c r="C85" s="53" t="inlineStr">
        <is>
          <t>D</t>
        </is>
      </c>
      <c r="D85" s="55" t="inlineStr">
        <is>
          <t>06</t>
        </is>
      </c>
      <c r="E85" s="54" t="n">
        <v>2</v>
      </c>
      <c r="F85" s="54">
        <f>A85&amp;B85&amp;"-"&amp;C85&amp;E85&amp;"-"&amp;D85</f>
        <v/>
      </c>
      <c r="G85" s="54" t="n"/>
      <c r="H85" s="56" t="n"/>
      <c r="I85" s="56" t="n"/>
      <c r="J85" s="53" t="n"/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qHLrIiIBqowSzK3c8PFw9g==" formatRows="1" sort="0" spinCount="100000" hashValue="hZZ2qSS9aQYhGmgibo9IglU1KzdjFJmu56PYN4eiRtmQ/1ZuAH3Dn2rg9j/FchTKoESkeq1alswcz3LuU2/oWg=="/>
  <autoFilter ref="A1:J85"/>
  <conditionalFormatting sqref="G1:G1048576">
    <cfRule type="duplicateValues" priority="2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zoomScaleNormal="100" workbookViewId="0">
      <pane xSplit="3" ySplit="1" topLeftCell="D2" activePane="bottomRight" state="frozen"/>
      <selection pane="bottomRight" activeCell="M97" sqref="M97"/>
      <selection pane="bottomLeft" activeCell="A2" sqref="A2"/>
      <selection pane="topRight" activeCell="E1" sqref="E1"/>
    </sheetView>
  </sheetViews>
  <sheetFormatPr baseColWidth="8" defaultColWidth="8.7109375" defaultRowHeight="15"/>
  <cols>
    <col width="13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5.28515625" customWidth="1" style="1" min="7" max="7"/>
    <col width="30" customWidth="1" style="18" min="8" max="8"/>
    <col width="25.7109375" bestFit="1" customWidth="1" style="18" min="9" max="9"/>
    <col width="17.140625" customWidth="1" min="10" max="10"/>
    <col width="13.42578125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10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T</t>
        </is>
      </c>
      <c r="B2" s="6" t="n">
        <v>4</v>
      </c>
      <c r="C2" s="7" t="inlineStr">
        <is>
          <t>A</t>
        </is>
      </c>
      <c r="D2" s="7" t="inlineStr">
        <is>
          <t>01</t>
        </is>
      </c>
      <c r="E2" s="7" t="n">
        <v>1</v>
      </c>
      <c r="F2" s="7">
        <f>A2&amp;B2&amp;"-"&amp;C2&amp;E2&amp;"-"&amp;D2</f>
        <v/>
      </c>
      <c r="G2" s="7" t="n">
        <v>366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6">
        <f>IF(G2&lt;&gt;"","Allocated","Available")</f>
        <v/>
      </c>
    </row>
    <row r="3">
      <c r="A3" s="6" t="inlineStr">
        <is>
          <t>T</t>
        </is>
      </c>
      <c r="B3" s="6" t="n">
        <v>4</v>
      </c>
      <c r="C3" s="7" t="inlineStr">
        <is>
          <t>A</t>
        </is>
      </c>
      <c r="D3" s="7" t="inlineStr">
        <is>
          <t>02</t>
        </is>
      </c>
      <c r="E3" s="7" t="n">
        <v>1</v>
      </c>
      <c r="F3" s="7">
        <f>A3&amp;B3&amp;"-"&amp;C3&amp;E3&amp;"-"&amp;D3</f>
        <v/>
      </c>
      <c r="G3" s="7" t="n">
        <v>790</v>
      </c>
      <c r="H3" s="47">
        <f>_xlfn.XLOOKUP(G3,'All Associates'!A:A,'All Associates'!B:B)</f>
        <v/>
      </c>
      <c r="I3" s="47">
        <f>_xlfn.XLOOKUP(G3,'All Associates'!A:A,'All Associates'!D:D)</f>
        <v/>
      </c>
      <c r="J3" s="6">
        <f>IF(G3&lt;&gt;"","Allocated","Available")</f>
        <v/>
      </c>
    </row>
    <row r="4">
      <c r="A4" s="6" t="inlineStr">
        <is>
          <t>T</t>
        </is>
      </c>
      <c r="B4" s="6" t="n">
        <v>4</v>
      </c>
      <c r="C4" s="7" t="inlineStr">
        <is>
          <t>A</t>
        </is>
      </c>
      <c r="D4" s="7" t="inlineStr">
        <is>
          <t>03</t>
        </is>
      </c>
      <c r="E4" s="7" t="n">
        <v>1</v>
      </c>
      <c r="F4" s="7">
        <f>A4&amp;B4&amp;"-"&amp;C4&amp;E4&amp;"-"&amp;D4</f>
        <v/>
      </c>
      <c r="G4" s="7" t="n">
        <v>781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6">
        <f>IF(G4&lt;&gt;"","Allocated","Available")</f>
        <v/>
      </c>
    </row>
    <row r="5">
      <c r="A5" s="6" t="inlineStr">
        <is>
          <t>T</t>
        </is>
      </c>
      <c r="B5" s="6" t="n">
        <v>4</v>
      </c>
      <c r="C5" s="7" t="inlineStr">
        <is>
          <t>A</t>
        </is>
      </c>
      <c r="D5" s="7" t="inlineStr">
        <is>
          <t>04</t>
        </is>
      </c>
      <c r="E5" s="7" t="n">
        <v>1</v>
      </c>
      <c r="F5" s="7">
        <f>A5&amp;B5&amp;"-"&amp;C5&amp;E5&amp;"-"&amp;D5</f>
        <v/>
      </c>
      <c r="G5" s="7" t="n">
        <v>711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6">
        <f>IF(G5&lt;&gt;"","Allocated","Available")</f>
        <v/>
      </c>
    </row>
    <row r="6">
      <c r="A6" s="6" t="inlineStr">
        <is>
          <t>T</t>
        </is>
      </c>
      <c r="B6" s="6" t="n">
        <v>4</v>
      </c>
      <c r="C6" s="7" t="inlineStr">
        <is>
          <t>A</t>
        </is>
      </c>
      <c r="D6" s="7" t="inlineStr">
        <is>
          <t>05</t>
        </is>
      </c>
      <c r="E6" s="7" t="n">
        <v>1</v>
      </c>
      <c r="F6" s="7">
        <f>A6&amp;B6&amp;"-"&amp;C6&amp;E6&amp;"-"&amp;D6</f>
        <v/>
      </c>
      <c r="G6" s="7" t="n">
        <v>867</v>
      </c>
      <c r="H6" s="47">
        <f>_xlfn.XLOOKUP(G6,'All Associates'!A:A,'All Associates'!B:B)</f>
        <v/>
      </c>
      <c r="I6" s="47">
        <f>_xlfn.XLOOKUP(G6,'All Associates'!A:A,'All Associates'!D:D)</f>
        <v/>
      </c>
      <c r="J6" s="6">
        <f>IF(G6&lt;&gt;"","Allocated","Available")</f>
        <v/>
      </c>
    </row>
    <row r="7">
      <c r="A7" s="6" t="inlineStr">
        <is>
          <t>T</t>
        </is>
      </c>
      <c r="B7" s="6" t="n">
        <v>4</v>
      </c>
      <c r="C7" s="7" t="inlineStr">
        <is>
          <t>A</t>
        </is>
      </c>
      <c r="D7" s="7" t="inlineStr">
        <is>
          <t>06</t>
        </is>
      </c>
      <c r="E7" s="7" t="n">
        <v>1</v>
      </c>
      <c r="F7" s="7">
        <f>A7&amp;B7&amp;"-"&amp;C7&amp;E7&amp;"-"&amp;D7</f>
        <v/>
      </c>
      <c r="G7" s="7" t="n">
        <v>2004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6">
        <f>IF(G7&lt;&gt;"","Allocated","Available")</f>
        <v/>
      </c>
    </row>
    <row r="8">
      <c r="A8" s="6" t="inlineStr">
        <is>
          <t>T</t>
        </is>
      </c>
      <c r="B8" s="6" t="n">
        <v>4</v>
      </c>
      <c r="C8" s="7" t="inlineStr">
        <is>
          <t>A</t>
        </is>
      </c>
      <c r="D8" s="7" t="inlineStr">
        <is>
          <t>07</t>
        </is>
      </c>
      <c r="E8" s="7" t="n">
        <v>1</v>
      </c>
      <c r="F8" s="7">
        <f>A8&amp;B8&amp;"-"&amp;C8&amp;E8&amp;"-"&amp;D8</f>
        <v/>
      </c>
      <c r="G8" s="7" t="n">
        <v>483</v>
      </c>
      <c r="H8" s="47">
        <f>_xlfn.XLOOKUP(G8,'All Associates'!A:A,'All Associates'!B:B)</f>
        <v/>
      </c>
      <c r="I8" s="47">
        <f>_xlfn.XLOOKUP(G8,'All Associates'!A:A,'All Associates'!D:D)</f>
        <v/>
      </c>
      <c r="J8" s="6">
        <f>IF(G8&lt;&gt;"","Allocated","Available")</f>
        <v/>
      </c>
    </row>
    <row r="9">
      <c r="A9" s="6" t="inlineStr">
        <is>
          <t>T</t>
        </is>
      </c>
      <c r="B9" s="6" t="n">
        <v>4</v>
      </c>
      <c r="C9" s="7" t="inlineStr">
        <is>
          <t>A</t>
        </is>
      </c>
      <c r="D9" s="7" t="inlineStr">
        <is>
          <t>08</t>
        </is>
      </c>
      <c r="E9" s="7" t="n">
        <v>1</v>
      </c>
      <c r="F9" s="7">
        <f>A9&amp;B9&amp;"-"&amp;C9&amp;E9&amp;"-"&amp;D9</f>
        <v/>
      </c>
      <c r="G9" s="7" t="n">
        <v>2031</v>
      </c>
      <c r="H9" s="47">
        <f>_xlfn.XLOOKUP(G9,'All Associates'!A:A,'All Associates'!B:B)</f>
        <v/>
      </c>
      <c r="I9" s="47">
        <f>_xlfn.XLOOKUP(G9,'All Associates'!A:A,'All Associates'!D:D)</f>
        <v/>
      </c>
      <c r="J9" s="6">
        <f>IF(G9&lt;&gt;"","Allocated","Available")</f>
        <v/>
      </c>
    </row>
    <row r="10">
      <c r="A10" s="6" t="inlineStr">
        <is>
          <t>T</t>
        </is>
      </c>
      <c r="B10" s="6" t="n">
        <v>4</v>
      </c>
      <c r="C10" s="7" t="inlineStr">
        <is>
          <t>A</t>
        </is>
      </c>
      <c r="D10" s="7" t="inlineStr">
        <is>
          <t>01</t>
        </is>
      </c>
      <c r="E10" s="7" t="n">
        <v>2</v>
      </c>
      <c r="F10" s="7">
        <f>A10&amp;B10&amp;"-"&amp;C10&amp;E10&amp;"-"&amp;D10</f>
        <v/>
      </c>
      <c r="G10" s="7" t="n">
        <v>379</v>
      </c>
      <c r="H10" s="47">
        <f>_xlfn.XLOOKUP(G10,'All Associates'!A:A,'All Associates'!B:B)</f>
        <v/>
      </c>
      <c r="I10" s="47">
        <f>_xlfn.XLOOKUP(G10,'All Associates'!A:A,'All Associates'!D:D)</f>
        <v/>
      </c>
      <c r="J10" s="6">
        <f>IF(G10&lt;&gt;"","Allocated","Available")</f>
        <v/>
      </c>
    </row>
    <row r="11">
      <c r="A11" s="6" t="inlineStr">
        <is>
          <t>T</t>
        </is>
      </c>
      <c r="B11" s="6" t="n">
        <v>4</v>
      </c>
      <c r="C11" s="7" t="inlineStr">
        <is>
          <t>A</t>
        </is>
      </c>
      <c r="D11" s="7" t="inlineStr">
        <is>
          <t>02</t>
        </is>
      </c>
      <c r="E11" s="7" t="n">
        <v>2</v>
      </c>
      <c r="F11" s="7">
        <f>A11&amp;B11&amp;"-"&amp;C11&amp;E11&amp;"-"&amp;D11</f>
        <v/>
      </c>
      <c r="G11" s="7" t="n">
        <v>368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6">
        <f>IF(G11&lt;&gt;"","Allocated","Available")</f>
        <v/>
      </c>
    </row>
    <row r="12">
      <c r="A12" s="6" t="inlineStr">
        <is>
          <t>T</t>
        </is>
      </c>
      <c r="B12" s="6" t="n">
        <v>4</v>
      </c>
      <c r="C12" s="7" t="inlineStr">
        <is>
          <t>A</t>
        </is>
      </c>
      <c r="D12" s="7" t="inlineStr">
        <is>
          <t>03</t>
        </is>
      </c>
      <c r="E12" s="7" t="n">
        <v>2</v>
      </c>
      <c r="F12" s="7">
        <f>A12&amp;B12&amp;"-"&amp;C12&amp;E12&amp;"-"&amp;D12</f>
        <v/>
      </c>
      <c r="G12" s="7" t="n">
        <v>70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6">
        <f>IF(G12&lt;&gt;"","Allocated","Available")</f>
        <v/>
      </c>
    </row>
    <row r="13">
      <c r="A13" s="6" t="inlineStr">
        <is>
          <t>T</t>
        </is>
      </c>
      <c r="B13" s="6" t="n">
        <v>4</v>
      </c>
      <c r="C13" s="7" t="inlineStr">
        <is>
          <t>A</t>
        </is>
      </c>
      <c r="D13" s="7" t="inlineStr">
        <is>
          <t>04</t>
        </is>
      </c>
      <c r="E13" s="7" t="n">
        <v>2</v>
      </c>
      <c r="F13" s="7">
        <f>A13&amp;B13&amp;"-"&amp;C13&amp;E13&amp;"-"&amp;D13</f>
        <v/>
      </c>
      <c r="G13" s="7" t="n">
        <v>851</v>
      </c>
      <c r="H13" s="47">
        <f>_xlfn.XLOOKUP(G13,'All Associates'!A:A,'All Associates'!B:B)</f>
        <v/>
      </c>
      <c r="I13" s="47">
        <f>_xlfn.XLOOKUP(G13,'All Associates'!A:A,'All Associates'!D:D)</f>
        <v/>
      </c>
      <c r="J13" s="6">
        <f>IF(G13&lt;&gt;"","Allocated","Available")</f>
        <v/>
      </c>
    </row>
    <row r="14">
      <c r="A14" s="6" t="inlineStr">
        <is>
          <t>T</t>
        </is>
      </c>
      <c r="B14" s="6" t="n">
        <v>4</v>
      </c>
      <c r="C14" s="7" t="inlineStr">
        <is>
          <t>A</t>
        </is>
      </c>
      <c r="D14" s="7" t="inlineStr">
        <is>
          <t>05</t>
        </is>
      </c>
      <c r="E14" s="7" t="n">
        <v>2</v>
      </c>
      <c r="F14" s="7">
        <f>A14&amp;B14&amp;"-"&amp;C14&amp;E14&amp;"-"&amp;D14</f>
        <v/>
      </c>
      <c r="G14" s="7" t="n">
        <v>701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6">
        <f>IF(G14&lt;&gt;"","Allocated","Available")</f>
        <v/>
      </c>
    </row>
    <row r="15">
      <c r="A15" s="6" t="inlineStr">
        <is>
          <t>T</t>
        </is>
      </c>
      <c r="B15" s="6" t="n">
        <v>4</v>
      </c>
      <c r="C15" s="7" t="inlineStr">
        <is>
          <t>A</t>
        </is>
      </c>
      <c r="D15" s="7" t="inlineStr">
        <is>
          <t>06</t>
        </is>
      </c>
      <c r="E15" s="7" t="n">
        <v>2</v>
      </c>
      <c r="F15" s="7">
        <f>A15&amp;B15&amp;"-"&amp;C15&amp;E15&amp;"-"&amp;D15</f>
        <v/>
      </c>
      <c r="G15" s="7" t="n">
        <v>1143</v>
      </c>
      <c r="H15" s="47">
        <f>_xlfn.XLOOKUP(G15,'All Associates'!A:A,'All Associates'!B:B)</f>
        <v/>
      </c>
      <c r="I15" s="47">
        <f>_xlfn.XLOOKUP(G15,'All Associates'!A:A,'All Associates'!D:D)</f>
        <v/>
      </c>
      <c r="J15" s="6">
        <f>IF(G15&lt;&gt;"","Allocated","Available")</f>
        <v/>
      </c>
    </row>
    <row r="16">
      <c r="A16" s="6" t="inlineStr">
        <is>
          <t>T</t>
        </is>
      </c>
      <c r="B16" s="6" t="n">
        <v>4</v>
      </c>
      <c r="C16" s="7" t="inlineStr">
        <is>
          <t>A</t>
        </is>
      </c>
      <c r="D16" s="7" t="inlineStr">
        <is>
          <t>07</t>
        </is>
      </c>
      <c r="E16" s="7" t="n">
        <v>2</v>
      </c>
      <c r="F16" s="7">
        <f>A16&amp;B16&amp;"-"&amp;C16&amp;E16&amp;"-"&amp;D16</f>
        <v/>
      </c>
      <c r="G16" s="7" t="n">
        <v>949</v>
      </c>
      <c r="H16" s="47">
        <f>_xlfn.XLOOKUP(G16,'All Associates'!A:A,'All Associates'!B:B)</f>
        <v/>
      </c>
      <c r="I16" s="47">
        <f>_xlfn.XLOOKUP(G16,'All Associates'!A:A,'All Associates'!D:D)</f>
        <v/>
      </c>
      <c r="J16" s="6">
        <f>IF(G16&lt;&gt;"","Allocated","Available")</f>
        <v/>
      </c>
    </row>
    <row r="17">
      <c r="A17" s="6" t="inlineStr">
        <is>
          <t>T</t>
        </is>
      </c>
      <c r="B17" s="6" t="n">
        <v>4</v>
      </c>
      <c r="C17" s="7" t="inlineStr">
        <is>
          <t>A</t>
        </is>
      </c>
      <c r="D17" s="7" t="inlineStr">
        <is>
          <t>08</t>
        </is>
      </c>
      <c r="E17" s="7" t="n">
        <v>2</v>
      </c>
      <c r="F17" s="7">
        <f>A17&amp;B17&amp;"-"&amp;C17&amp;E17&amp;"-"&amp;D17</f>
        <v/>
      </c>
      <c r="G17" s="7" t="n">
        <v>2010</v>
      </c>
      <c r="H17" s="47">
        <f>_xlfn.XLOOKUP(G17,'All Associates'!A:A,'All Associates'!B:B)</f>
        <v/>
      </c>
      <c r="I17" s="47">
        <f>_xlfn.XLOOKUP(G17,'All Associates'!A:A,'All Associates'!D:D)</f>
        <v/>
      </c>
      <c r="J17" s="6">
        <f>IF(G17&lt;&gt;"","Allocated","Available")</f>
        <v/>
      </c>
    </row>
    <row r="18">
      <c r="A18" s="6" t="inlineStr">
        <is>
          <t>T</t>
        </is>
      </c>
      <c r="B18" s="6" t="n">
        <v>4</v>
      </c>
      <c r="C18" s="7" t="inlineStr">
        <is>
          <t>A</t>
        </is>
      </c>
      <c r="D18" s="7" t="inlineStr">
        <is>
          <t>01</t>
        </is>
      </c>
      <c r="E18" s="7" t="n">
        <v>3</v>
      </c>
      <c r="F18" s="7">
        <f>A18&amp;B18&amp;"-"&amp;C18&amp;E18&amp;"-"&amp;D18</f>
        <v/>
      </c>
      <c r="G18" s="7" t="n">
        <v>884</v>
      </c>
      <c r="H18" s="47">
        <f>_xlfn.XLOOKUP(G18,'All Associates'!A:A,'All Associates'!B:B)</f>
        <v/>
      </c>
      <c r="I18" s="47">
        <f>_xlfn.XLOOKUP(G18,'All Associates'!A:A,'All Associates'!D:D)</f>
        <v/>
      </c>
      <c r="J18" s="6">
        <f>IF(G18&lt;&gt;"","Allocated","Available")</f>
        <v/>
      </c>
    </row>
    <row r="19">
      <c r="A19" s="6" t="inlineStr">
        <is>
          <t>T</t>
        </is>
      </c>
      <c r="B19" s="6" t="n">
        <v>4</v>
      </c>
      <c r="C19" s="7" t="inlineStr">
        <is>
          <t>A</t>
        </is>
      </c>
      <c r="D19" s="7" t="inlineStr">
        <is>
          <t>02</t>
        </is>
      </c>
      <c r="E19" s="7" t="n">
        <v>3</v>
      </c>
      <c r="F19" s="7">
        <f>A19&amp;B19&amp;"-"&amp;C19&amp;E19&amp;"-"&amp;D19</f>
        <v/>
      </c>
      <c r="G19" s="7" t="n">
        <v>928</v>
      </c>
      <c r="H19" s="47">
        <f>_xlfn.XLOOKUP(G19,'All Associates'!A:A,'All Associates'!B:B)</f>
        <v/>
      </c>
      <c r="I19" s="47">
        <f>_xlfn.XLOOKUP(G19,'All Associates'!A:A,'All Associates'!D:D)</f>
        <v/>
      </c>
      <c r="J19" s="6">
        <f>IF(G19&lt;&gt;"","Allocated","Available")</f>
        <v/>
      </c>
    </row>
    <row r="20">
      <c r="A20" s="6" t="inlineStr">
        <is>
          <t>T</t>
        </is>
      </c>
      <c r="B20" s="6" t="n">
        <v>4</v>
      </c>
      <c r="C20" s="7" t="inlineStr">
        <is>
          <t>A</t>
        </is>
      </c>
      <c r="D20" s="7" t="inlineStr">
        <is>
          <t>03</t>
        </is>
      </c>
      <c r="E20" s="7" t="n">
        <v>3</v>
      </c>
      <c r="F20" s="7">
        <f>A20&amp;B20&amp;"-"&amp;C20&amp;E20&amp;"-"&amp;D20</f>
        <v/>
      </c>
      <c r="G20" s="7" t="n">
        <v>771</v>
      </c>
      <c r="H20" s="47">
        <f>_xlfn.XLOOKUP(G20,'All Associates'!A:A,'All Associates'!B:B)</f>
        <v/>
      </c>
      <c r="I20" s="47">
        <f>_xlfn.XLOOKUP(G20,'All Associates'!A:A,'All Associates'!D:D)</f>
        <v/>
      </c>
      <c r="J20" s="6">
        <f>IF(G20&lt;&gt;"","Allocated","Available")</f>
        <v/>
      </c>
    </row>
    <row r="21">
      <c r="A21" s="6" t="inlineStr">
        <is>
          <t>T</t>
        </is>
      </c>
      <c r="B21" s="6" t="n">
        <v>4</v>
      </c>
      <c r="C21" s="7" t="inlineStr">
        <is>
          <t>A</t>
        </is>
      </c>
      <c r="D21" s="7" t="inlineStr">
        <is>
          <t>04</t>
        </is>
      </c>
      <c r="E21" s="7" t="n">
        <v>3</v>
      </c>
      <c r="F21" s="7">
        <f>A21&amp;B21&amp;"-"&amp;C21&amp;E21&amp;"-"&amp;D21</f>
        <v/>
      </c>
      <c r="G21" s="7" t="n">
        <v>434</v>
      </c>
      <c r="H21" s="47">
        <f>_xlfn.XLOOKUP(G21,'All Associates'!A:A,'All Associates'!B:B)</f>
        <v/>
      </c>
      <c r="I21" s="47">
        <f>_xlfn.XLOOKUP(G21,'All Associates'!A:A,'All Associates'!D:D)</f>
        <v/>
      </c>
      <c r="J21" s="6">
        <f>IF(G21&lt;&gt;"","Allocated","Available")</f>
        <v/>
      </c>
    </row>
    <row r="22">
      <c r="A22" s="6" t="inlineStr">
        <is>
          <t>T</t>
        </is>
      </c>
      <c r="B22" s="6" t="n">
        <v>4</v>
      </c>
      <c r="C22" s="7" t="inlineStr">
        <is>
          <t>A</t>
        </is>
      </c>
      <c r="D22" s="7" t="inlineStr">
        <is>
          <t>05</t>
        </is>
      </c>
      <c r="E22" s="7" t="n">
        <v>3</v>
      </c>
      <c r="F22" s="7">
        <f>A22&amp;B22&amp;"-"&amp;C22&amp;E22&amp;"-"&amp;D22</f>
        <v/>
      </c>
      <c r="G22" s="7" t="n">
        <v>567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6">
        <f>IF(G22&lt;&gt;"","Allocated","Available")</f>
        <v/>
      </c>
    </row>
    <row r="23">
      <c r="A23" s="6" t="inlineStr">
        <is>
          <t>T</t>
        </is>
      </c>
      <c r="B23" s="6" t="n">
        <v>4</v>
      </c>
      <c r="C23" s="7" t="inlineStr">
        <is>
          <t>A</t>
        </is>
      </c>
      <c r="D23" s="7" t="inlineStr">
        <is>
          <t>06</t>
        </is>
      </c>
      <c r="E23" s="7" t="n">
        <v>3</v>
      </c>
      <c r="F23" s="7">
        <f>A23&amp;B23&amp;"-"&amp;C23&amp;E23&amp;"-"&amp;D23</f>
        <v/>
      </c>
      <c r="G23" s="7" t="n">
        <v>1160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6">
        <f>IF(G23&lt;&gt;"","Allocated","Available")</f>
        <v/>
      </c>
    </row>
    <row r="24">
      <c r="A24" s="6" t="inlineStr">
        <is>
          <t>T</t>
        </is>
      </c>
      <c r="B24" s="6" t="n">
        <v>4</v>
      </c>
      <c r="C24" s="7" t="inlineStr">
        <is>
          <t>A</t>
        </is>
      </c>
      <c r="D24" s="7" t="inlineStr">
        <is>
          <t>07</t>
        </is>
      </c>
      <c r="E24" s="7" t="n">
        <v>3</v>
      </c>
      <c r="F24" s="7">
        <f>A24&amp;B24&amp;"-"&amp;C24&amp;E24&amp;"-"&amp;D24</f>
        <v/>
      </c>
      <c r="G24" s="7" t="n">
        <v>555</v>
      </c>
      <c r="H24" s="47">
        <f>_xlfn.XLOOKUP(G24,'All Associates'!A:A,'All Associates'!B:B)</f>
        <v/>
      </c>
      <c r="I24" s="47">
        <f>_xlfn.XLOOKUP(G24,'All Associates'!A:A,'All Associates'!D:D)</f>
        <v/>
      </c>
      <c r="J24" s="6">
        <f>IF(G24&lt;&gt;"","Allocated","Available")</f>
        <v/>
      </c>
    </row>
    <row r="25">
      <c r="A25" s="6" t="inlineStr">
        <is>
          <t>T</t>
        </is>
      </c>
      <c r="B25" s="6" t="n">
        <v>4</v>
      </c>
      <c r="C25" s="7" t="inlineStr">
        <is>
          <t>A</t>
        </is>
      </c>
      <c r="D25" s="7" t="inlineStr">
        <is>
          <t>08</t>
        </is>
      </c>
      <c r="E25" s="7" t="n">
        <v>3</v>
      </c>
      <c r="F25" s="7">
        <f>A25&amp;B25&amp;"-"&amp;C25&amp;E25&amp;"-"&amp;D25</f>
        <v/>
      </c>
      <c r="G25" s="7" t="n">
        <v>800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6">
        <f>IF(G25&lt;&gt;"","Allocated","Available")</f>
        <v/>
      </c>
    </row>
    <row r="26">
      <c r="A26" s="6" t="inlineStr">
        <is>
          <t>T</t>
        </is>
      </c>
      <c r="B26" s="6" t="n">
        <v>4</v>
      </c>
      <c r="C26" s="7" t="inlineStr">
        <is>
          <t>A</t>
        </is>
      </c>
      <c r="D26" s="7" t="n">
        <v>1</v>
      </c>
      <c r="E26" s="7" t="inlineStr">
        <is>
          <t>M1</t>
        </is>
      </c>
      <c r="F26" s="7">
        <f>A26&amp;B26&amp;"-"&amp;C26&amp;E26&amp;"-"&amp;D26</f>
        <v/>
      </c>
      <c r="G26" s="7" t="n">
        <v>343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6">
        <f>IF(G26&lt;&gt;"","Allocated","Available")</f>
        <v/>
      </c>
    </row>
    <row r="27">
      <c r="A27" s="6" t="inlineStr">
        <is>
          <t>T</t>
        </is>
      </c>
      <c r="B27" s="6" t="n">
        <v>4</v>
      </c>
      <c r="C27" s="7" t="inlineStr">
        <is>
          <t>A</t>
        </is>
      </c>
      <c r="D27" s="7" t="n">
        <v>1</v>
      </c>
      <c r="E27" s="7" t="n">
        <v>4</v>
      </c>
      <c r="F27" s="7">
        <f>A27&amp;B27&amp;"-"&amp;C27&amp;E27&amp;"-"&amp;D27</f>
        <v/>
      </c>
      <c r="G27" s="7" t="n">
        <v>2026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6">
        <f>IF(G27&lt;&gt;"","Allocated","Available")</f>
        <v/>
      </c>
    </row>
    <row r="28">
      <c r="A28" s="6" t="inlineStr">
        <is>
          <t>T</t>
        </is>
      </c>
      <c r="B28" s="6" t="n">
        <v>4</v>
      </c>
      <c r="C28" s="7" t="inlineStr">
        <is>
          <t>A</t>
        </is>
      </c>
      <c r="D28" s="7" t="n">
        <v>2</v>
      </c>
      <c r="E28" s="7" t="n">
        <v>4</v>
      </c>
      <c r="F28" s="7">
        <f>A28&amp;B28&amp;"-"&amp;C28&amp;E28&amp;"-"&amp;D28</f>
        <v/>
      </c>
      <c r="G28" s="7" t="n"/>
      <c r="H28" s="47">
        <f>_xlfn.XLOOKUP(G28,'All Associates'!A:A,'All Associates'!B:B)</f>
        <v/>
      </c>
      <c r="I28" s="47">
        <f>_xlfn.XLOOKUP(G28,'All Associates'!A:A,'All Associates'!D:D)</f>
        <v/>
      </c>
      <c r="J28" s="6">
        <f>IF(G28&lt;&gt;"","Allocated","Available")</f>
        <v/>
      </c>
    </row>
    <row r="29">
      <c r="A29" s="6" t="inlineStr">
        <is>
          <t>T</t>
        </is>
      </c>
      <c r="B29" s="6" t="n">
        <v>4</v>
      </c>
      <c r="C29" s="7" t="inlineStr">
        <is>
          <t>A</t>
        </is>
      </c>
      <c r="D29" s="7" t="n">
        <v>3</v>
      </c>
      <c r="E29" s="7" t="n">
        <v>4</v>
      </c>
      <c r="F29" s="7">
        <f>A29&amp;B29&amp;"-"&amp;C29&amp;E29&amp;"-"&amp;D29</f>
        <v/>
      </c>
      <c r="G29" s="7" t="n">
        <v>2027</v>
      </c>
      <c r="H29" s="47">
        <f>_xlfn.XLOOKUP(G29,'All Associates'!A:A,'All Associates'!B:B)</f>
        <v/>
      </c>
      <c r="I29" s="47">
        <f>_xlfn.XLOOKUP(G29,'All Associates'!A:A,'All Associates'!D:D)</f>
        <v/>
      </c>
      <c r="J29" s="6">
        <f>IF(G29&lt;&gt;"","Allocated","Available")</f>
        <v/>
      </c>
    </row>
    <row r="30">
      <c r="A30" s="6" t="inlineStr">
        <is>
          <t>T</t>
        </is>
      </c>
      <c r="B30" s="6" t="n">
        <v>4</v>
      </c>
      <c r="C30" s="7" t="inlineStr">
        <is>
          <t>A</t>
        </is>
      </c>
      <c r="D30" s="7" t="n">
        <v>4</v>
      </c>
      <c r="E30" s="7" t="n">
        <v>4</v>
      </c>
      <c r="F30" s="7">
        <f>A30&amp;B30&amp;"-"&amp;C30&amp;E30&amp;"-"&amp;D30</f>
        <v/>
      </c>
      <c r="G30" s="7" t="n"/>
      <c r="H30" s="47">
        <f>_xlfn.XLOOKUP(G30,'All Associates'!A:A,'All Associates'!B:B)</f>
        <v/>
      </c>
      <c r="I30" s="47">
        <f>_xlfn.XLOOKUP(G30,'All Associates'!A:A,'All Associates'!D:D)</f>
        <v/>
      </c>
      <c r="J30" s="6">
        <f>IF(G30&lt;&gt;"","Allocated","Available")</f>
        <v/>
      </c>
    </row>
    <row r="31">
      <c r="A31" s="6" t="inlineStr">
        <is>
          <t>T</t>
        </is>
      </c>
      <c r="B31" s="6" t="n">
        <v>4</v>
      </c>
      <c r="C31" s="6" t="inlineStr">
        <is>
          <t>B</t>
        </is>
      </c>
      <c r="D31" s="7" t="inlineStr">
        <is>
          <t>01</t>
        </is>
      </c>
      <c r="E31" s="7" t="n">
        <v>1</v>
      </c>
      <c r="F31" s="7">
        <f>A31&amp;B31&amp;"-"&amp;C31&amp;E31&amp;"-"&amp;D31</f>
        <v/>
      </c>
      <c r="G31" s="7" t="n">
        <v>735</v>
      </c>
      <c r="H31" s="47">
        <f>_xlfn.XLOOKUP(G31,'All Associates'!A:A,'All Associates'!B:B)</f>
        <v/>
      </c>
      <c r="I31" s="47">
        <f>_xlfn.XLOOKUP(G31,'All Associates'!A:A,'All Associates'!D:D)</f>
        <v/>
      </c>
      <c r="J31" s="6">
        <f>IF(G31&lt;&gt;"","Allocated","Available")</f>
        <v/>
      </c>
    </row>
    <row r="32">
      <c r="A32" s="6" t="inlineStr">
        <is>
          <t>T</t>
        </is>
      </c>
      <c r="B32" s="6" t="n">
        <v>4</v>
      </c>
      <c r="C32" s="6" t="inlineStr">
        <is>
          <t>B</t>
        </is>
      </c>
      <c r="D32" s="7" t="inlineStr">
        <is>
          <t>02</t>
        </is>
      </c>
      <c r="E32" s="7" t="n">
        <v>1</v>
      </c>
      <c r="F32" s="7">
        <f>A32&amp;B32&amp;"-"&amp;C32&amp;E32&amp;"-"&amp;D32</f>
        <v/>
      </c>
      <c r="G32" s="7" t="n">
        <v>478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6">
        <f>IF(G32&lt;&gt;"","Allocated","Available")</f>
        <v/>
      </c>
    </row>
    <row r="33">
      <c r="A33" s="6" t="inlineStr">
        <is>
          <t>T</t>
        </is>
      </c>
      <c r="B33" s="6" t="n">
        <v>4</v>
      </c>
      <c r="C33" s="6" t="inlineStr">
        <is>
          <t>B</t>
        </is>
      </c>
      <c r="D33" s="7" t="inlineStr">
        <is>
          <t>03</t>
        </is>
      </c>
      <c r="E33" s="7" t="n">
        <v>1</v>
      </c>
      <c r="F33" s="7">
        <f>A33&amp;B33&amp;"-"&amp;C33&amp;E33&amp;"-"&amp;D33</f>
        <v/>
      </c>
      <c r="G33" s="7" t="n">
        <v>806</v>
      </c>
      <c r="H33" s="47">
        <f>_xlfn.XLOOKUP(G33,'All Associates'!A:A,'All Associates'!B:B)</f>
        <v/>
      </c>
      <c r="I33" s="47">
        <f>_xlfn.XLOOKUP(G33,'All Associates'!A:A,'All Associates'!D:D)</f>
        <v/>
      </c>
      <c r="J33" s="6">
        <f>IF(G33&lt;&gt;"","Allocated","Available")</f>
        <v/>
      </c>
    </row>
    <row r="34">
      <c r="A34" s="6" t="inlineStr">
        <is>
          <t>T</t>
        </is>
      </c>
      <c r="B34" s="6" t="n">
        <v>4</v>
      </c>
      <c r="C34" s="6" t="inlineStr">
        <is>
          <t>B</t>
        </is>
      </c>
      <c r="D34" s="7" t="inlineStr">
        <is>
          <t>04</t>
        </is>
      </c>
      <c r="E34" s="7" t="n">
        <v>1</v>
      </c>
      <c r="F34" s="7">
        <f>A34&amp;B34&amp;"-"&amp;C34&amp;E34&amp;"-"&amp;D34</f>
        <v/>
      </c>
      <c r="G34" s="7" t="n">
        <v>2029</v>
      </c>
      <c r="H34" s="47">
        <f>_xlfn.XLOOKUP(G34,'All Associates'!A:A,'All Associates'!B:B)</f>
        <v/>
      </c>
      <c r="I34" s="47">
        <f>_xlfn.XLOOKUP(G34,'All Associates'!A:A,'All Associates'!D:D)</f>
        <v/>
      </c>
      <c r="J34" s="6">
        <f>IF(G34&lt;&gt;"","Allocated","Available")</f>
        <v/>
      </c>
    </row>
    <row r="35">
      <c r="A35" s="6" t="inlineStr">
        <is>
          <t>T</t>
        </is>
      </c>
      <c r="B35" s="6" t="n">
        <v>4</v>
      </c>
      <c r="C35" s="6" t="inlineStr">
        <is>
          <t>B</t>
        </is>
      </c>
      <c r="D35" s="7" t="inlineStr">
        <is>
          <t>05</t>
        </is>
      </c>
      <c r="E35" s="7" t="n">
        <v>1</v>
      </c>
      <c r="F35" s="7">
        <f>A35&amp;B35&amp;"-"&amp;C35&amp;E35&amp;"-"&amp;D35</f>
        <v/>
      </c>
      <c r="G35" s="7" t="n">
        <v>185</v>
      </c>
      <c r="H35" s="47">
        <f>_xlfn.XLOOKUP(G35,'All Associates'!A:A,'All Associates'!B:B)</f>
        <v/>
      </c>
      <c r="I35" s="47">
        <f>_xlfn.XLOOKUP(G35,'All Associates'!A:A,'All Associates'!D:D)</f>
        <v/>
      </c>
      <c r="J35" s="6">
        <f>IF(G35&lt;&gt;"","Allocated","Available")</f>
        <v/>
      </c>
    </row>
    <row r="36">
      <c r="A36" s="6" t="inlineStr">
        <is>
          <t>T</t>
        </is>
      </c>
      <c r="B36" s="6" t="n">
        <v>4</v>
      </c>
      <c r="C36" s="6" t="inlineStr">
        <is>
          <t>B</t>
        </is>
      </c>
      <c r="D36" s="7" t="inlineStr">
        <is>
          <t>01</t>
        </is>
      </c>
      <c r="E36" s="7" t="n">
        <v>2</v>
      </c>
      <c r="F36" s="7">
        <f>A36&amp;B36&amp;"-"&amp;C36&amp;E36&amp;"-"&amp;D36</f>
        <v/>
      </c>
      <c r="G36" s="7" t="n">
        <v>431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6">
        <f>IF(G36&lt;&gt;"","Allocated","Available")</f>
        <v/>
      </c>
    </row>
    <row r="37">
      <c r="A37" s="6" t="inlineStr">
        <is>
          <t>T</t>
        </is>
      </c>
      <c r="B37" s="6" t="n">
        <v>4</v>
      </c>
      <c r="C37" s="6" t="inlineStr">
        <is>
          <t>B</t>
        </is>
      </c>
      <c r="D37" s="7" t="inlineStr">
        <is>
          <t>02</t>
        </is>
      </c>
      <c r="E37" s="7" t="n">
        <v>2</v>
      </c>
      <c r="F37" s="7">
        <f>A37&amp;B37&amp;"-"&amp;C37&amp;E37&amp;"-"&amp;D37</f>
        <v/>
      </c>
      <c r="G37" s="7" t="n">
        <v>852</v>
      </c>
      <c r="H37" s="47">
        <f>_xlfn.XLOOKUP(G37,'All Associates'!A:A,'All Associates'!B:B)</f>
        <v/>
      </c>
      <c r="I37" s="47">
        <f>_xlfn.XLOOKUP(G37,'All Associates'!A:A,'All Associates'!D:D)</f>
        <v/>
      </c>
      <c r="J37" s="6">
        <f>IF(G37&lt;&gt;"","Allocated","Available")</f>
        <v/>
      </c>
    </row>
    <row r="38">
      <c r="A38" s="6" t="inlineStr">
        <is>
          <t>T</t>
        </is>
      </c>
      <c r="B38" s="6" t="n">
        <v>4</v>
      </c>
      <c r="C38" s="6" t="inlineStr">
        <is>
          <t>B</t>
        </is>
      </c>
      <c r="D38" s="7" t="inlineStr">
        <is>
          <t>03</t>
        </is>
      </c>
      <c r="E38" s="7" t="n">
        <v>2</v>
      </c>
      <c r="F38" s="7">
        <f>A38&amp;B38&amp;"-"&amp;C38&amp;E38&amp;"-"&amp;D38</f>
        <v/>
      </c>
      <c r="G38" s="7" t="n">
        <v>1003</v>
      </c>
      <c r="H38" s="47">
        <f>_xlfn.XLOOKUP(G38,'All Associates'!A:A,'All Associates'!B:B)</f>
        <v/>
      </c>
      <c r="I38" s="47">
        <f>_xlfn.XLOOKUP(G38,'All Associates'!A:A,'All Associates'!D:D)</f>
        <v/>
      </c>
      <c r="J38" s="6">
        <f>IF(G38&lt;&gt;"","Allocated","Available")</f>
        <v/>
      </c>
    </row>
    <row r="39">
      <c r="A39" s="6" t="inlineStr">
        <is>
          <t>T</t>
        </is>
      </c>
      <c r="B39" s="6" t="n">
        <v>4</v>
      </c>
      <c r="C39" s="6" t="inlineStr">
        <is>
          <t>B</t>
        </is>
      </c>
      <c r="D39" s="7" t="inlineStr">
        <is>
          <t>04</t>
        </is>
      </c>
      <c r="E39" s="7" t="n">
        <v>2</v>
      </c>
      <c r="F39" s="7">
        <f>A39&amp;B39&amp;"-"&amp;C39&amp;E39&amp;"-"&amp;D39</f>
        <v/>
      </c>
      <c r="G39" s="7" t="n">
        <v>859</v>
      </c>
      <c r="H39" s="47">
        <f>_xlfn.XLOOKUP(G39,'All Associates'!A:A,'All Associates'!B:B)</f>
        <v/>
      </c>
      <c r="I39" s="47">
        <f>_xlfn.XLOOKUP(G39,'All Associates'!A:A,'All Associates'!D:D)</f>
        <v/>
      </c>
      <c r="J39" s="6">
        <f>IF(G39&lt;&gt;"","Allocated","Available")</f>
        <v/>
      </c>
    </row>
    <row r="40">
      <c r="A40" s="6" t="inlineStr">
        <is>
          <t>T</t>
        </is>
      </c>
      <c r="B40" s="6" t="n">
        <v>4</v>
      </c>
      <c r="C40" s="6" t="inlineStr">
        <is>
          <t>B</t>
        </is>
      </c>
      <c r="D40" s="7" t="inlineStr">
        <is>
          <t>05</t>
        </is>
      </c>
      <c r="E40" s="7" t="n">
        <v>2</v>
      </c>
      <c r="F40" s="7">
        <f>A40&amp;B40&amp;"-"&amp;C40&amp;E40&amp;"-"&amp;D40</f>
        <v/>
      </c>
      <c r="G40" s="7" t="n">
        <v>1167</v>
      </c>
      <c r="H40" s="47">
        <f>_xlfn.XLOOKUP(G40,'All Associates'!A:A,'All Associates'!B:B)</f>
        <v/>
      </c>
      <c r="I40" s="47">
        <f>_xlfn.XLOOKUP(G40,'All Associates'!A:A,'All Associates'!D:D)</f>
        <v/>
      </c>
      <c r="J40" s="6">
        <f>IF(G40&lt;&gt;"","Allocated","Available")</f>
        <v/>
      </c>
    </row>
    <row r="41">
      <c r="A41" s="6" t="inlineStr">
        <is>
          <t>T</t>
        </is>
      </c>
      <c r="B41" s="6" t="n">
        <v>4</v>
      </c>
      <c r="C41" s="6" t="inlineStr">
        <is>
          <t>B</t>
        </is>
      </c>
      <c r="D41" s="7" t="inlineStr">
        <is>
          <t>06</t>
        </is>
      </c>
      <c r="E41" s="7" t="n">
        <v>2</v>
      </c>
      <c r="F41" s="7">
        <f>A41&amp;B41&amp;"-"&amp;C41&amp;E41&amp;"-"&amp;D41</f>
        <v/>
      </c>
      <c r="G41" s="7" t="n"/>
      <c r="H41" s="47">
        <f>_xlfn.XLOOKUP(G41,'All Associates'!A:A,'All Associates'!B:B)</f>
        <v/>
      </c>
      <c r="I41" s="47">
        <f>_xlfn.XLOOKUP(G41,'All Associates'!A:A,'All Associates'!D:D)</f>
        <v/>
      </c>
      <c r="J41" s="6">
        <f>IF(G41&lt;&gt;"","Allocated","Available")</f>
        <v/>
      </c>
    </row>
    <row r="42">
      <c r="A42" s="6" t="inlineStr">
        <is>
          <t>T</t>
        </is>
      </c>
      <c r="B42" s="6" t="n">
        <v>4</v>
      </c>
      <c r="C42" s="6" t="inlineStr">
        <is>
          <t>C</t>
        </is>
      </c>
      <c r="D42" s="7" t="inlineStr">
        <is>
          <t>01</t>
        </is>
      </c>
      <c r="E42" s="7" t="n">
        <v>1</v>
      </c>
      <c r="F42" s="7">
        <f>A42&amp;B42&amp;"-"&amp;C42&amp;E42&amp;"-"&amp;D42</f>
        <v/>
      </c>
      <c r="G42" s="7" t="n">
        <v>531</v>
      </c>
      <c r="H42" s="47">
        <f>_xlfn.XLOOKUP(G42,'All Associates'!A:A,'All Associates'!B:B)</f>
        <v/>
      </c>
      <c r="I42" s="47">
        <f>_xlfn.XLOOKUP(G42,'All Associates'!A:A,'All Associates'!D:D)</f>
        <v/>
      </c>
      <c r="J42" s="6">
        <f>IF(G42&lt;&gt;"","Allocated","Available")</f>
        <v/>
      </c>
    </row>
    <row r="43">
      <c r="A43" s="6" t="inlineStr">
        <is>
          <t>T</t>
        </is>
      </c>
      <c r="B43" s="6" t="n">
        <v>4</v>
      </c>
      <c r="C43" s="6" t="inlineStr">
        <is>
          <t>C</t>
        </is>
      </c>
      <c r="D43" s="7" t="inlineStr">
        <is>
          <t>02</t>
        </is>
      </c>
      <c r="E43" s="7" t="n">
        <v>1</v>
      </c>
      <c r="F43" s="7">
        <f>A43&amp;B43&amp;"-"&amp;C43&amp;E43&amp;"-"&amp;D43</f>
        <v/>
      </c>
      <c r="G43" s="7" t="n">
        <v>1113</v>
      </c>
      <c r="H43" s="47">
        <f>_xlfn.XLOOKUP(G43,'All Associates'!A:A,'All Associates'!B:B)</f>
        <v/>
      </c>
      <c r="I43" s="47">
        <f>_xlfn.XLOOKUP(G43,'All Associates'!A:A,'All Associates'!D:D)</f>
        <v/>
      </c>
      <c r="J43" s="6">
        <f>IF(G43&lt;&gt;"","Allocated","Available")</f>
        <v/>
      </c>
    </row>
    <row r="44">
      <c r="A44" s="6" t="inlineStr">
        <is>
          <t>T</t>
        </is>
      </c>
      <c r="B44" s="6" t="n">
        <v>4</v>
      </c>
      <c r="C44" s="6" t="inlineStr">
        <is>
          <t>C</t>
        </is>
      </c>
      <c r="D44" s="7" t="inlineStr">
        <is>
          <t>03</t>
        </is>
      </c>
      <c r="E44" s="7" t="n">
        <v>1</v>
      </c>
      <c r="F44" s="7">
        <f>A44&amp;B44&amp;"-"&amp;C44&amp;E44&amp;"-"&amp;D44</f>
        <v/>
      </c>
      <c r="G44" s="7" t="n">
        <v>725</v>
      </c>
      <c r="H44" s="47">
        <f>_xlfn.XLOOKUP(G44,'All Associates'!A:A,'All Associates'!B:B)</f>
        <v/>
      </c>
      <c r="I44" s="47">
        <f>_xlfn.XLOOKUP(G44,'All Associates'!A:A,'All Associates'!D:D)</f>
        <v/>
      </c>
      <c r="J44" s="6">
        <f>IF(G44&lt;&gt;"","Allocated","Available")</f>
        <v/>
      </c>
    </row>
    <row r="45">
      <c r="A45" s="6" t="inlineStr">
        <is>
          <t>T</t>
        </is>
      </c>
      <c r="B45" s="6" t="n">
        <v>4</v>
      </c>
      <c r="C45" s="6" t="inlineStr">
        <is>
          <t>C</t>
        </is>
      </c>
      <c r="D45" s="7" t="inlineStr">
        <is>
          <t>04</t>
        </is>
      </c>
      <c r="E45" s="7" t="n">
        <v>1</v>
      </c>
      <c r="F45" s="7">
        <f>A45&amp;B45&amp;"-"&amp;C45&amp;E45&amp;"-"&amp;D45</f>
        <v/>
      </c>
      <c r="G45" s="7" t="n">
        <v>227</v>
      </c>
      <c r="H45" s="47">
        <f>_xlfn.XLOOKUP(G45,'All Associates'!A:A,'All Associates'!B:B)</f>
        <v/>
      </c>
      <c r="I45" s="47">
        <f>_xlfn.XLOOKUP(G45,'All Associates'!A:A,'All Associates'!D:D)</f>
        <v/>
      </c>
      <c r="J45" s="6">
        <f>IF(G45&lt;&gt;"","Allocated","Available")</f>
        <v/>
      </c>
    </row>
    <row r="46">
      <c r="A46" s="6" t="inlineStr">
        <is>
          <t>T</t>
        </is>
      </c>
      <c r="B46" s="6" t="n">
        <v>4</v>
      </c>
      <c r="C46" s="6" t="inlineStr">
        <is>
          <t>C</t>
        </is>
      </c>
      <c r="D46" s="7" t="inlineStr">
        <is>
          <t>05</t>
        </is>
      </c>
      <c r="E46" s="7" t="n">
        <v>1</v>
      </c>
      <c r="F46" s="7">
        <f>A46&amp;B46&amp;"-"&amp;C46&amp;E46&amp;"-"&amp;D46</f>
        <v/>
      </c>
      <c r="G46" s="7" t="n">
        <v>355</v>
      </c>
      <c r="H46" s="47">
        <f>_xlfn.XLOOKUP(G46,'All Associates'!A:A,'All Associates'!B:B)</f>
        <v/>
      </c>
      <c r="I46" s="47">
        <f>_xlfn.XLOOKUP(G46,'All Associates'!A:A,'All Associates'!D:D)</f>
        <v/>
      </c>
      <c r="J46" s="6">
        <f>IF(G46&lt;&gt;"","Allocated","Available")</f>
        <v/>
      </c>
    </row>
    <row r="47">
      <c r="A47" s="6" t="inlineStr">
        <is>
          <t>T</t>
        </is>
      </c>
      <c r="B47" s="6" t="n">
        <v>4</v>
      </c>
      <c r="C47" s="6" t="inlineStr">
        <is>
          <t>C</t>
        </is>
      </c>
      <c r="D47" s="7" t="inlineStr">
        <is>
          <t>06</t>
        </is>
      </c>
      <c r="E47" s="7" t="n">
        <v>1</v>
      </c>
      <c r="F47" s="7">
        <f>A47&amp;B47&amp;"-"&amp;C47&amp;E47&amp;"-"&amp;D47</f>
        <v/>
      </c>
      <c r="G47" s="7" t="n">
        <v>460</v>
      </c>
      <c r="H47" s="47">
        <f>_xlfn.XLOOKUP(G47,'All Associates'!A:A,'All Associates'!B:B)</f>
        <v/>
      </c>
      <c r="I47" s="47">
        <f>_xlfn.XLOOKUP(G47,'All Associates'!A:A,'All Associates'!D:D)</f>
        <v/>
      </c>
      <c r="J47" s="6">
        <f>IF(G47&lt;&gt;"","Allocated","Available")</f>
        <v/>
      </c>
    </row>
    <row r="48">
      <c r="A48" s="6" t="inlineStr">
        <is>
          <t>T</t>
        </is>
      </c>
      <c r="B48" s="6" t="n">
        <v>4</v>
      </c>
      <c r="C48" s="6" t="inlineStr">
        <is>
          <t>C</t>
        </is>
      </c>
      <c r="D48" s="7" t="inlineStr">
        <is>
          <t>01</t>
        </is>
      </c>
      <c r="E48" s="7" t="n">
        <v>2</v>
      </c>
      <c r="F48" s="7">
        <f>A48&amp;B48&amp;"-"&amp;C48&amp;E48&amp;"-"&amp;D48</f>
        <v/>
      </c>
      <c r="G48" s="7" t="n">
        <v>1093</v>
      </c>
      <c r="H48" s="47">
        <f>_xlfn.XLOOKUP(G48,'All Associates'!A:A,'All Associates'!B:B)</f>
        <v/>
      </c>
      <c r="I48" s="47">
        <f>_xlfn.XLOOKUP(G48,'All Associates'!A:A,'All Associates'!D:D)</f>
        <v/>
      </c>
      <c r="J48" s="6">
        <f>IF(G48&lt;&gt;"","Allocated","Available")</f>
        <v/>
      </c>
    </row>
    <row r="49">
      <c r="A49" s="6" t="inlineStr">
        <is>
          <t>T</t>
        </is>
      </c>
      <c r="B49" s="6" t="n">
        <v>4</v>
      </c>
      <c r="C49" s="6" t="inlineStr">
        <is>
          <t>C</t>
        </is>
      </c>
      <c r="D49" s="7" t="inlineStr">
        <is>
          <t>02</t>
        </is>
      </c>
      <c r="E49" s="7" t="n">
        <v>2</v>
      </c>
      <c r="F49" s="7">
        <f>A49&amp;B49&amp;"-"&amp;C49&amp;E49&amp;"-"&amp;D49</f>
        <v/>
      </c>
      <c r="G49" s="7" t="n">
        <v>1145</v>
      </c>
      <c r="H49" s="47">
        <f>_xlfn.XLOOKUP(G49,'All Associates'!A:A,'All Associates'!B:B)</f>
        <v/>
      </c>
      <c r="I49" s="47">
        <f>_xlfn.XLOOKUP(G49,'All Associates'!A:A,'All Associates'!D:D)</f>
        <v/>
      </c>
      <c r="J49" s="6">
        <f>IF(G49&lt;&gt;"","Allocated","Available")</f>
        <v/>
      </c>
    </row>
    <row r="50">
      <c r="A50" s="6" t="inlineStr">
        <is>
          <t>T</t>
        </is>
      </c>
      <c r="B50" s="6" t="n">
        <v>4</v>
      </c>
      <c r="C50" s="6" t="inlineStr">
        <is>
          <t>C</t>
        </is>
      </c>
      <c r="D50" s="7" t="inlineStr">
        <is>
          <t>03</t>
        </is>
      </c>
      <c r="E50" s="7" t="n">
        <v>2</v>
      </c>
      <c r="F50" s="7">
        <f>A50&amp;B50&amp;"-"&amp;C50&amp;E50&amp;"-"&amp;D50</f>
        <v/>
      </c>
      <c r="G50" s="7" t="n">
        <v>775</v>
      </c>
      <c r="H50" s="47">
        <f>_xlfn.XLOOKUP(G50,'All Associates'!A:A,'All Associates'!B:B)</f>
        <v/>
      </c>
      <c r="I50" s="47">
        <f>_xlfn.XLOOKUP(G50,'All Associates'!A:A,'All Associates'!D:D)</f>
        <v/>
      </c>
      <c r="J50" s="6">
        <f>IF(G50&lt;&gt;"","Allocated","Available")</f>
        <v/>
      </c>
    </row>
    <row r="51">
      <c r="A51" s="6" t="inlineStr">
        <is>
          <t>T</t>
        </is>
      </c>
      <c r="B51" s="6" t="n">
        <v>4</v>
      </c>
      <c r="C51" s="6" t="inlineStr">
        <is>
          <t>C</t>
        </is>
      </c>
      <c r="D51" s="7" t="inlineStr">
        <is>
          <t>04</t>
        </is>
      </c>
      <c r="E51" s="7" t="n">
        <v>2</v>
      </c>
      <c r="F51" s="7">
        <f>A51&amp;B51&amp;"-"&amp;C51&amp;E51&amp;"-"&amp;D51</f>
        <v/>
      </c>
      <c r="G51" s="7" t="n"/>
      <c r="H51" s="47">
        <f>_xlfn.XLOOKUP(G51,'All Associates'!A:A,'All Associates'!B:B)</f>
        <v/>
      </c>
      <c r="I51" s="47">
        <f>_xlfn.XLOOKUP(G51,'All Associates'!A:A,'All Associates'!D:D)</f>
        <v/>
      </c>
      <c r="J51" s="6">
        <f>IF(G51&lt;&gt;"","Allocated","Available")</f>
        <v/>
      </c>
    </row>
    <row r="52">
      <c r="A52" s="6" t="inlineStr">
        <is>
          <t>T</t>
        </is>
      </c>
      <c r="B52" s="6" t="n">
        <v>4</v>
      </c>
      <c r="C52" s="6" t="inlineStr">
        <is>
          <t>C</t>
        </is>
      </c>
      <c r="D52" s="7" t="inlineStr">
        <is>
          <t>05</t>
        </is>
      </c>
      <c r="E52" s="7" t="n">
        <v>2</v>
      </c>
      <c r="F52" s="7">
        <f>A52&amp;B52&amp;"-"&amp;C52&amp;E52&amp;"-"&amp;D52</f>
        <v/>
      </c>
      <c r="G52" s="7" t="n"/>
      <c r="H52" s="47">
        <f>_xlfn.XLOOKUP(G52,'All Associates'!A:A,'All Associates'!B:B)</f>
        <v/>
      </c>
      <c r="I52" s="47">
        <f>_xlfn.XLOOKUP(G52,'All Associates'!A:A,'All Associates'!D:D)</f>
        <v/>
      </c>
      <c r="J52" s="6">
        <f>IF(G52&lt;&gt;"","Allocated","Available")</f>
        <v/>
      </c>
    </row>
    <row r="53">
      <c r="A53" s="6" t="inlineStr">
        <is>
          <t>T</t>
        </is>
      </c>
      <c r="B53" s="6" t="n">
        <v>4</v>
      </c>
      <c r="C53" s="6" t="inlineStr">
        <is>
          <t>C</t>
        </is>
      </c>
      <c r="D53" s="7" t="inlineStr">
        <is>
          <t>06</t>
        </is>
      </c>
      <c r="E53" s="7" t="n">
        <v>2</v>
      </c>
      <c r="F53" s="7">
        <f>A53&amp;B53&amp;"-"&amp;C53&amp;E53&amp;"-"&amp;D53</f>
        <v/>
      </c>
      <c r="G53" s="7" t="n"/>
      <c r="H53" s="47">
        <f>_xlfn.XLOOKUP(G53,'All Associates'!A:A,'All Associates'!B:B)</f>
        <v/>
      </c>
      <c r="I53" s="47">
        <f>_xlfn.XLOOKUP(G53,'All Associates'!A:A,'All Associates'!D:D)</f>
        <v/>
      </c>
      <c r="J53" s="6">
        <f>IF(G53&lt;&gt;"","Allocated","Available")</f>
        <v/>
      </c>
    </row>
    <row r="54">
      <c r="A54" s="6" t="inlineStr">
        <is>
          <t>T</t>
        </is>
      </c>
      <c r="B54" s="6" t="n">
        <v>4</v>
      </c>
      <c r="C54" s="6" t="inlineStr">
        <is>
          <t>C</t>
        </is>
      </c>
      <c r="D54" s="7" t="inlineStr">
        <is>
          <t>01</t>
        </is>
      </c>
      <c r="E54" s="7" t="n">
        <v>3</v>
      </c>
      <c r="F54" s="7">
        <f>A54&amp;B54&amp;"-"&amp;C54&amp;E54&amp;"-"&amp;D54</f>
        <v/>
      </c>
      <c r="G54" s="7" t="n">
        <v>356</v>
      </c>
      <c r="H54" s="47">
        <f>_xlfn.XLOOKUP(G54,'All Associates'!A:A,'All Associates'!B:B)</f>
        <v/>
      </c>
      <c r="I54" s="47">
        <f>_xlfn.XLOOKUP(G54,'All Associates'!A:A,'All Associates'!D:D)</f>
        <v/>
      </c>
      <c r="J54" s="6">
        <f>IF(G54&lt;&gt;"","Allocated","Available")</f>
        <v/>
      </c>
    </row>
    <row r="55">
      <c r="A55" s="6" t="inlineStr">
        <is>
          <t>T</t>
        </is>
      </c>
      <c r="B55" s="6" t="n">
        <v>4</v>
      </c>
      <c r="C55" s="6" t="inlineStr">
        <is>
          <t>C</t>
        </is>
      </c>
      <c r="D55" s="7" t="inlineStr">
        <is>
          <t>02</t>
        </is>
      </c>
      <c r="E55" s="7" t="n">
        <v>3</v>
      </c>
      <c r="F55" s="7">
        <f>A55&amp;B55&amp;"-"&amp;C55&amp;E55&amp;"-"&amp;D55</f>
        <v/>
      </c>
      <c r="G55" s="7" t="n">
        <v>797</v>
      </c>
      <c r="H55" s="47">
        <f>_xlfn.XLOOKUP(G55,'All Associates'!A:A,'All Associates'!B:B)</f>
        <v/>
      </c>
      <c r="I55" s="47">
        <f>_xlfn.XLOOKUP(G55,'All Associates'!A:A,'All Associates'!D:D)</f>
        <v/>
      </c>
      <c r="J55" s="6">
        <f>IF(G55&lt;&gt;"","Allocated","Available")</f>
        <v/>
      </c>
    </row>
    <row r="56">
      <c r="A56" s="6" t="inlineStr">
        <is>
          <t>T</t>
        </is>
      </c>
      <c r="B56" s="6" t="n">
        <v>4</v>
      </c>
      <c r="C56" s="6" t="inlineStr">
        <is>
          <t>C</t>
        </is>
      </c>
      <c r="D56" s="7" t="inlineStr">
        <is>
          <t>03</t>
        </is>
      </c>
      <c r="E56" s="7" t="n">
        <v>3</v>
      </c>
      <c r="F56" s="7">
        <f>A56&amp;B56&amp;"-"&amp;C56&amp;E56&amp;"-"&amp;D56</f>
        <v/>
      </c>
      <c r="G56" s="6" t="n">
        <v>1198</v>
      </c>
      <c r="H56" s="47">
        <f>_xlfn.XLOOKUP(G56,'All Associates'!A:A,'All Associates'!B:B)</f>
        <v/>
      </c>
      <c r="I56" s="47">
        <f>_xlfn.XLOOKUP(G56,'All Associates'!A:A,'All Associates'!D:D)</f>
        <v/>
      </c>
      <c r="J56" s="6">
        <f>IF(G56&lt;&gt;"","Allocated","Available")</f>
        <v/>
      </c>
    </row>
    <row r="57">
      <c r="A57" s="6" t="inlineStr">
        <is>
          <t>T</t>
        </is>
      </c>
      <c r="B57" s="6" t="n">
        <v>4</v>
      </c>
      <c r="C57" s="6" t="inlineStr">
        <is>
          <t>C</t>
        </is>
      </c>
      <c r="D57" s="7" t="inlineStr">
        <is>
          <t>04</t>
        </is>
      </c>
      <c r="E57" s="7" t="n">
        <v>3</v>
      </c>
      <c r="F57" s="7">
        <f>A57&amp;B57&amp;"-"&amp;C57&amp;E57&amp;"-"&amp;D57</f>
        <v/>
      </c>
      <c r="G57" s="7" t="n">
        <v>1059</v>
      </c>
      <c r="H57" s="47">
        <f>_xlfn.XLOOKUP(G57,'All Associates'!A:A,'All Associates'!B:B)</f>
        <v/>
      </c>
      <c r="I57" s="47">
        <f>_xlfn.XLOOKUP(G57,'All Associates'!A:A,'All Associates'!D:D)</f>
        <v/>
      </c>
      <c r="J57" s="6">
        <f>IF(G57&lt;&gt;"","Allocated","Available")</f>
        <v/>
      </c>
    </row>
    <row r="58">
      <c r="A58" s="6" t="inlineStr">
        <is>
          <t>T</t>
        </is>
      </c>
      <c r="B58" s="6" t="n">
        <v>4</v>
      </c>
      <c r="C58" s="6" t="inlineStr">
        <is>
          <t>C</t>
        </is>
      </c>
      <c r="D58" s="7" t="inlineStr">
        <is>
          <t>05</t>
        </is>
      </c>
      <c r="E58" s="7" t="n">
        <v>3</v>
      </c>
      <c r="F58" s="7">
        <f>A58&amp;B58&amp;"-"&amp;C58&amp;E58&amp;"-"&amp;D58</f>
        <v/>
      </c>
      <c r="G58" s="6" t="n">
        <v>2017</v>
      </c>
      <c r="H58" s="47">
        <f>_xlfn.XLOOKUP(G58,'All Associates'!A:A,'All Associates'!B:B)</f>
        <v/>
      </c>
      <c r="I58" s="47">
        <f>_xlfn.XLOOKUP(G58,'All Associates'!A:A,'All Associates'!D:D)</f>
        <v/>
      </c>
      <c r="J58" s="6">
        <f>IF(G58&lt;&gt;"","Allocated","Available")</f>
        <v/>
      </c>
    </row>
    <row r="59">
      <c r="A59" s="6" t="inlineStr">
        <is>
          <t>T</t>
        </is>
      </c>
      <c r="B59" s="6" t="n">
        <v>4</v>
      </c>
      <c r="C59" s="6" t="inlineStr">
        <is>
          <t>C</t>
        </is>
      </c>
      <c r="D59" s="7" t="inlineStr">
        <is>
          <t>06</t>
        </is>
      </c>
      <c r="E59" s="7" t="n">
        <v>3</v>
      </c>
      <c r="F59" s="7">
        <f>A59&amp;B59&amp;"-"&amp;C59&amp;E59&amp;"-"&amp;D59</f>
        <v/>
      </c>
      <c r="G59" s="7" t="n">
        <v>1016</v>
      </c>
      <c r="H59" s="47">
        <f>_xlfn.XLOOKUP(G59,'All Associates'!A:A,'All Associates'!B:B)</f>
        <v/>
      </c>
      <c r="I59" s="47">
        <f>_xlfn.XLOOKUP(G59,'All Associates'!A:A,'All Associates'!D:D)</f>
        <v/>
      </c>
      <c r="J59" s="6">
        <f>IF(G59&lt;&gt;"","Allocated","Available")</f>
        <v/>
      </c>
    </row>
    <row r="60">
      <c r="A60" s="6" t="inlineStr">
        <is>
          <t>T</t>
        </is>
      </c>
      <c r="B60" s="6" t="n">
        <v>4</v>
      </c>
      <c r="C60" s="6" t="inlineStr">
        <is>
          <t>C</t>
        </is>
      </c>
      <c r="D60" s="7" t="inlineStr">
        <is>
          <t>03</t>
        </is>
      </c>
      <c r="E60" s="7" t="n">
        <v>4</v>
      </c>
      <c r="F60" s="7">
        <f>A60&amp;B60&amp;"-"&amp;C60&amp;E60&amp;"-"&amp;D60</f>
        <v/>
      </c>
      <c r="G60" s="7" t="n">
        <v>1053</v>
      </c>
      <c r="H60" s="47">
        <f>_xlfn.XLOOKUP(G60,'All Associates'!A:A,'All Associates'!B:B)</f>
        <v/>
      </c>
      <c r="I60" s="47">
        <f>_xlfn.XLOOKUP(G60,'All Associates'!A:A,'All Associates'!D:D)</f>
        <v/>
      </c>
      <c r="J60" s="6">
        <f>IF(G60&lt;&gt;"","Allocated","Available")</f>
        <v/>
      </c>
    </row>
    <row r="61">
      <c r="A61" s="6" t="inlineStr">
        <is>
          <t>T</t>
        </is>
      </c>
      <c r="B61" s="6" t="n">
        <v>4</v>
      </c>
      <c r="C61" s="6" t="inlineStr">
        <is>
          <t>C</t>
        </is>
      </c>
      <c r="D61" s="7" t="inlineStr">
        <is>
          <t>02</t>
        </is>
      </c>
      <c r="E61" s="7" t="n">
        <v>4</v>
      </c>
      <c r="F61" s="7">
        <f>A61&amp;B61&amp;"-"&amp;C61&amp;E61&amp;"-"&amp;D61</f>
        <v/>
      </c>
      <c r="G61" s="7" t="n">
        <v>511</v>
      </c>
      <c r="H61" s="47">
        <f>_xlfn.XLOOKUP(G61,'All Associates'!A:A,'All Associates'!B:B)</f>
        <v/>
      </c>
      <c r="I61" s="47">
        <f>_xlfn.XLOOKUP(G61,'All Associates'!A:A,'All Associates'!D:D)</f>
        <v/>
      </c>
      <c r="J61" s="6">
        <f>IF(G61&lt;&gt;"","Allocated","Available")</f>
        <v/>
      </c>
    </row>
    <row r="62">
      <c r="A62" s="6" t="inlineStr">
        <is>
          <t>T</t>
        </is>
      </c>
      <c r="B62" s="6" t="n">
        <v>4</v>
      </c>
      <c r="C62" s="6" t="inlineStr">
        <is>
          <t>C</t>
        </is>
      </c>
      <c r="D62" s="7" t="n">
        <v>1</v>
      </c>
      <c r="E62" s="7" t="n">
        <v>4</v>
      </c>
      <c r="F62" s="7">
        <f>A62&amp;B62&amp;"-"&amp;C62&amp;E62&amp;"-"&amp;D62</f>
        <v/>
      </c>
      <c r="G62" s="7" t="n">
        <v>465</v>
      </c>
      <c r="H62" s="47">
        <f>_xlfn.XLOOKUP(G62,'All Associates'!A:A,'All Associates'!B:B)</f>
        <v/>
      </c>
      <c r="I62" s="47">
        <f>_xlfn.XLOOKUP(G62,'All Associates'!A:A,'All Associates'!D:D)</f>
        <v/>
      </c>
      <c r="J62" s="6">
        <f>IF(G62&lt;&gt;"","Allocated","Available")</f>
        <v/>
      </c>
    </row>
    <row r="63">
      <c r="A63" s="6" t="inlineStr">
        <is>
          <t>T</t>
        </is>
      </c>
      <c r="B63" s="6" t="n">
        <v>4</v>
      </c>
      <c r="C63" s="6" t="inlineStr">
        <is>
          <t>C</t>
        </is>
      </c>
      <c r="D63" s="7" t="inlineStr">
        <is>
          <t>04</t>
        </is>
      </c>
      <c r="E63" s="7" t="n">
        <v>4</v>
      </c>
      <c r="F63" s="7">
        <f>A63&amp;B63&amp;"-"&amp;C63&amp;E63&amp;"-"&amp;D63</f>
        <v/>
      </c>
      <c r="G63" s="7" t="n">
        <v>886</v>
      </c>
      <c r="H63" s="47">
        <f>_xlfn.XLOOKUP(G63,'All Associates'!A:A,'All Associates'!B:B)</f>
        <v/>
      </c>
      <c r="I63" s="47">
        <f>_xlfn.XLOOKUP(G63,'All Associates'!A:A,'All Associates'!D:D)</f>
        <v/>
      </c>
      <c r="J63" s="6">
        <f>IF(G63&lt;&gt;"","Allocated","Available")</f>
        <v/>
      </c>
    </row>
    <row r="64">
      <c r="A64" s="6" t="inlineStr">
        <is>
          <t>T</t>
        </is>
      </c>
      <c r="B64" s="6" t="n">
        <v>4</v>
      </c>
      <c r="C64" s="6" t="inlineStr">
        <is>
          <t>C</t>
        </is>
      </c>
      <c r="D64" s="7" t="inlineStr">
        <is>
          <t>05</t>
        </is>
      </c>
      <c r="E64" s="7" t="n">
        <v>4</v>
      </c>
      <c r="F64" s="7">
        <f>A64&amp;B64&amp;"-"&amp;C64&amp;E64&amp;"-"&amp;D64</f>
        <v/>
      </c>
      <c r="G64" s="7" t="n"/>
      <c r="H64" s="47">
        <f>_xlfn.XLOOKUP(G64,'All Associates'!A:A,'All Associates'!B:B)</f>
        <v/>
      </c>
      <c r="I64" s="47">
        <f>_xlfn.XLOOKUP(G64,'All Associates'!A:A,'All Associates'!D:D)</f>
        <v/>
      </c>
      <c r="J64" s="6">
        <f>IF(G64&lt;&gt;"","Allocated","Available")</f>
        <v/>
      </c>
    </row>
    <row r="65">
      <c r="A65" s="6" t="inlineStr">
        <is>
          <t>T</t>
        </is>
      </c>
      <c r="B65" s="6" t="n">
        <v>4</v>
      </c>
      <c r="C65" s="6" t="inlineStr">
        <is>
          <t>C</t>
        </is>
      </c>
      <c r="D65" s="7" t="inlineStr">
        <is>
          <t>06</t>
        </is>
      </c>
      <c r="E65" s="7" t="n">
        <v>4</v>
      </c>
      <c r="F65" s="7">
        <f>A65&amp;B65&amp;"-"&amp;C65&amp;E65&amp;"-"&amp;D65</f>
        <v/>
      </c>
      <c r="G65" s="7" t="n">
        <v>1038</v>
      </c>
      <c r="H65" s="47">
        <f>_xlfn.XLOOKUP(G65,'All Associates'!A:A,'All Associates'!B:B)</f>
        <v/>
      </c>
      <c r="I65" s="47">
        <f>_xlfn.XLOOKUP(G65,'All Associates'!A:A,'All Associates'!D:D)</f>
        <v/>
      </c>
      <c r="J65" s="6">
        <f>IF(G65&lt;&gt;"","Allocated","Available")</f>
        <v/>
      </c>
    </row>
    <row r="66">
      <c r="A66" s="6" t="inlineStr">
        <is>
          <t>T</t>
        </is>
      </c>
      <c r="B66" s="6" t="n">
        <v>4</v>
      </c>
      <c r="C66" s="6" t="inlineStr">
        <is>
          <t>C</t>
        </is>
      </c>
      <c r="D66" s="7" t="inlineStr">
        <is>
          <t>01</t>
        </is>
      </c>
      <c r="E66" s="7" t="n">
        <v>5</v>
      </c>
      <c r="F66" s="7">
        <f>A66&amp;B66&amp;"-"&amp;C66&amp;E66&amp;"-"&amp;D66</f>
        <v/>
      </c>
      <c r="G66" s="6" t="n">
        <v>1028</v>
      </c>
      <c r="H66" s="47">
        <f>_xlfn.XLOOKUP(G66,'All Associates'!A:A,'All Associates'!B:B)</f>
        <v/>
      </c>
      <c r="I66" s="47">
        <f>_xlfn.XLOOKUP(G66,'All Associates'!A:A,'All Associates'!D:D)</f>
        <v/>
      </c>
      <c r="J66" s="6">
        <f>IF(G66&lt;&gt;"","Allocated","Available")</f>
        <v/>
      </c>
    </row>
    <row r="67">
      <c r="A67" s="6" t="inlineStr">
        <is>
          <t>T</t>
        </is>
      </c>
      <c r="B67" s="6" t="n">
        <v>4</v>
      </c>
      <c r="C67" s="6" t="inlineStr">
        <is>
          <t>C</t>
        </is>
      </c>
      <c r="D67" s="7" t="inlineStr">
        <is>
          <t>02</t>
        </is>
      </c>
      <c r="E67" s="7" t="n">
        <v>5</v>
      </c>
      <c r="F67" s="7">
        <f>A67&amp;B67&amp;"-"&amp;C67&amp;E67&amp;"-"&amp;D67</f>
        <v/>
      </c>
      <c r="G67" s="6" t="n"/>
      <c r="H67" s="47">
        <f>_xlfn.XLOOKUP(G67,'All Associates'!A:A,'All Associates'!B:B)</f>
        <v/>
      </c>
      <c r="I67" s="47">
        <f>_xlfn.XLOOKUP(G67,'All Associates'!A:A,'All Associates'!D:D)</f>
        <v/>
      </c>
      <c r="J67" s="6">
        <f>IF(G67&lt;&gt;"","Allocated","Available")</f>
        <v/>
      </c>
    </row>
    <row r="68">
      <c r="A68" s="6" t="inlineStr">
        <is>
          <t>T</t>
        </is>
      </c>
      <c r="B68" s="6" t="n">
        <v>4</v>
      </c>
      <c r="C68" s="6" t="inlineStr">
        <is>
          <t>C</t>
        </is>
      </c>
      <c r="D68" s="7" t="inlineStr">
        <is>
          <t>03</t>
        </is>
      </c>
      <c r="E68" s="7" t="n">
        <v>5</v>
      </c>
      <c r="F68" s="7">
        <f>A68&amp;B68&amp;"-"&amp;C68&amp;E68&amp;"-"&amp;D68</f>
        <v/>
      </c>
      <c r="G68" s="6" t="n">
        <v>437</v>
      </c>
      <c r="H68" s="47">
        <f>_xlfn.XLOOKUP(G68,'All Associates'!A:A,'All Associates'!B:B)</f>
        <v/>
      </c>
      <c r="I68" s="47">
        <f>_xlfn.XLOOKUP(G68,'All Associates'!A:A,'All Associates'!D:D)</f>
        <v/>
      </c>
      <c r="J68" s="6">
        <f>IF(G68&lt;&gt;"","Allocated","Available")</f>
        <v/>
      </c>
    </row>
    <row r="69">
      <c r="A69" s="6" t="inlineStr">
        <is>
          <t>T</t>
        </is>
      </c>
      <c r="B69" s="6" t="n">
        <v>4</v>
      </c>
      <c r="C69" s="6" t="inlineStr">
        <is>
          <t>C</t>
        </is>
      </c>
      <c r="D69" s="7" t="inlineStr">
        <is>
          <t>04</t>
        </is>
      </c>
      <c r="E69" s="7" t="n">
        <v>5</v>
      </c>
      <c r="F69" s="7">
        <f>A69&amp;B69&amp;"-"&amp;C69&amp;E69&amp;"-"&amp;D69</f>
        <v/>
      </c>
      <c r="G69" s="7" t="n"/>
      <c r="H69" s="47">
        <f>_xlfn.XLOOKUP(G69,'All Associates'!A:A,'All Associates'!B:B)</f>
        <v/>
      </c>
      <c r="I69" s="47">
        <f>_xlfn.XLOOKUP(G69,'All Associates'!A:A,'All Associates'!D:D)</f>
        <v/>
      </c>
      <c r="J69" s="6">
        <f>IF(G69&lt;&gt;"","Allocated","Available")</f>
        <v/>
      </c>
    </row>
    <row r="70">
      <c r="A70" s="6" t="inlineStr">
        <is>
          <t>T</t>
        </is>
      </c>
      <c r="B70" s="6" t="n">
        <v>4</v>
      </c>
      <c r="C70" s="6" t="inlineStr">
        <is>
          <t>C</t>
        </is>
      </c>
      <c r="D70" s="7" t="inlineStr">
        <is>
          <t>05</t>
        </is>
      </c>
      <c r="E70" s="7" t="n">
        <v>5</v>
      </c>
      <c r="F70" s="7">
        <f>A70&amp;B70&amp;"-"&amp;C70&amp;E70&amp;"-"&amp;D70</f>
        <v/>
      </c>
      <c r="G70" s="7" t="n">
        <v>371</v>
      </c>
      <c r="H70" s="47">
        <f>_xlfn.XLOOKUP(G70,'All Associates'!A:A,'All Associates'!B:B)</f>
        <v/>
      </c>
      <c r="I70" s="47">
        <f>_xlfn.XLOOKUP(G70,'All Associates'!A:A,'All Associates'!D:D)</f>
        <v/>
      </c>
      <c r="J70" s="6">
        <f>IF(G70&lt;&gt;"","Allocated","Available")</f>
        <v/>
      </c>
    </row>
    <row r="71">
      <c r="A71" s="6" t="inlineStr">
        <is>
          <t>T</t>
        </is>
      </c>
      <c r="B71" s="6" t="n">
        <v>4</v>
      </c>
      <c r="C71" s="6" t="inlineStr">
        <is>
          <t>C</t>
        </is>
      </c>
      <c r="D71" s="7" t="inlineStr">
        <is>
          <t>06</t>
        </is>
      </c>
      <c r="E71" s="7" t="n">
        <v>5</v>
      </c>
      <c r="F71" s="7">
        <f>A71&amp;B71&amp;"-"&amp;C71&amp;E71&amp;"-"&amp;D71</f>
        <v/>
      </c>
      <c r="G71" s="7" t="n">
        <v>869</v>
      </c>
      <c r="H71" s="47">
        <f>_xlfn.XLOOKUP(G71,'All Associates'!A:A,'All Associates'!B:B)</f>
        <v/>
      </c>
      <c r="I71" s="47">
        <f>_xlfn.XLOOKUP(G71,'All Associates'!A:A,'All Associates'!D:D)</f>
        <v/>
      </c>
      <c r="J71" s="6">
        <f>IF(G71&lt;&gt;"","Allocated","Available")</f>
        <v/>
      </c>
    </row>
    <row r="72">
      <c r="A72" s="6" t="inlineStr">
        <is>
          <t>T</t>
        </is>
      </c>
      <c r="B72" s="6" t="n">
        <v>4</v>
      </c>
      <c r="C72" s="6" t="inlineStr">
        <is>
          <t>C</t>
        </is>
      </c>
      <c r="D72" s="7" t="inlineStr">
        <is>
          <t>01</t>
        </is>
      </c>
      <c r="E72" s="7" t="n">
        <v>6</v>
      </c>
      <c r="F72" s="7">
        <f>A72&amp;B72&amp;"-"&amp;C72&amp;E72&amp;"-"&amp;D72</f>
        <v/>
      </c>
      <c r="G72" s="6" t="n"/>
      <c r="H72" s="47">
        <f>_xlfn.XLOOKUP(G72,'All Associates'!A:A,'All Associates'!B:B)</f>
        <v/>
      </c>
      <c r="I72" s="47">
        <f>_xlfn.XLOOKUP(G72,'All Associates'!A:A,'All Associates'!D:D)</f>
        <v/>
      </c>
      <c r="J72" s="6">
        <f>IF(G72&lt;&gt;"","Allocated","Available")</f>
        <v/>
      </c>
    </row>
    <row r="73">
      <c r="A73" s="6" t="inlineStr">
        <is>
          <t>T</t>
        </is>
      </c>
      <c r="B73" s="6" t="n">
        <v>4</v>
      </c>
      <c r="C73" s="6" t="inlineStr">
        <is>
          <t>C</t>
        </is>
      </c>
      <c r="D73" s="7" t="inlineStr">
        <is>
          <t>02</t>
        </is>
      </c>
      <c r="E73" s="7" t="n">
        <v>6</v>
      </c>
      <c r="F73" s="7">
        <f>A73&amp;B73&amp;"-"&amp;C73&amp;E73&amp;"-"&amp;D73</f>
        <v/>
      </c>
      <c r="G73" s="7" t="n"/>
      <c r="H73" s="47">
        <f>_xlfn.XLOOKUP(G73,'All Associates'!A:A,'All Associates'!B:B)</f>
        <v/>
      </c>
      <c r="I73" s="47">
        <f>_xlfn.XLOOKUP(G73,'All Associates'!A:A,'All Associates'!D:D)</f>
        <v/>
      </c>
      <c r="J73" s="6">
        <f>IF(G73&lt;&gt;"","Allocated","Available")</f>
        <v/>
      </c>
    </row>
    <row r="74">
      <c r="A74" s="6" t="inlineStr">
        <is>
          <t>T</t>
        </is>
      </c>
      <c r="B74" s="6" t="n">
        <v>4</v>
      </c>
      <c r="C74" s="6" t="inlineStr">
        <is>
          <t>C</t>
        </is>
      </c>
      <c r="D74" s="7" t="inlineStr">
        <is>
          <t>03</t>
        </is>
      </c>
      <c r="E74" s="7" t="n">
        <v>6</v>
      </c>
      <c r="F74" s="7">
        <f>A74&amp;B74&amp;"-"&amp;C74&amp;E74&amp;"-"&amp;D74</f>
        <v/>
      </c>
      <c r="G74" s="6" t="n"/>
      <c r="H74" s="47">
        <f>_xlfn.XLOOKUP(G74,'All Associates'!A:A,'All Associates'!B:B)</f>
        <v/>
      </c>
      <c r="I74" s="47">
        <f>_xlfn.XLOOKUP(G74,'All Associates'!A:A,'All Associates'!D:D)</f>
        <v/>
      </c>
      <c r="J74" s="6">
        <f>IF(G74&lt;&gt;"","Allocated","Available")</f>
        <v/>
      </c>
    </row>
    <row r="75">
      <c r="A75" s="6" t="inlineStr">
        <is>
          <t>T</t>
        </is>
      </c>
      <c r="B75" s="6" t="n">
        <v>4</v>
      </c>
      <c r="C75" s="6" t="inlineStr">
        <is>
          <t>C</t>
        </is>
      </c>
      <c r="D75" s="7" t="inlineStr">
        <is>
          <t>04</t>
        </is>
      </c>
      <c r="E75" s="7" t="n">
        <v>6</v>
      </c>
      <c r="F75" s="7">
        <f>A75&amp;B75&amp;"-"&amp;C75&amp;E75&amp;"-"&amp;D75</f>
        <v/>
      </c>
      <c r="G75" s="7" t="n"/>
      <c r="H75" s="47">
        <f>_xlfn.XLOOKUP(G75,'All Associates'!A:A,'All Associates'!B:B)</f>
        <v/>
      </c>
      <c r="I75" s="47">
        <f>_xlfn.XLOOKUP(G75,'All Associates'!A:A,'All Associates'!D:D)</f>
        <v/>
      </c>
      <c r="J75" s="6">
        <f>IF(G75&lt;&gt;"","Allocated","Available")</f>
        <v/>
      </c>
    </row>
    <row r="76">
      <c r="A76" s="6" t="inlineStr">
        <is>
          <t>T</t>
        </is>
      </c>
      <c r="B76" s="6" t="n">
        <v>4</v>
      </c>
      <c r="C76" s="6" t="inlineStr">
        <is>
          <t>C</t>
        </is>
      </c>
      <c r="D76" s="7" t="inlineStr">
        <is>
          <t>05</t>
        </is>
      </c>
      <c r="E76" s="7" t="n">
        <v>6</v>
      </c>
      <c r="F76" s="6">
        <f>A76&amp;B76&amp;"-"&amp;C76&amp;E76&amp;"-"&amp;D76</f>
        <v/>
      </c>
      <c r="G76" s="6" t="n">
        <v>192</v>
      </c>
      <c r="H76" s="47">
        <f>_xlfn.XLOOKUP(G76,'All Associates'!A:A,'All Associates'!B:B)</f>
        <v/>
      </c>
      <c r="I76" s="47">
        <f>_xlfn.XLOOKUP(G76,'All Associates'!A:A,'All Associates'!D:D)</f>
        <v/>
      </c>
      <c r="J76" s="6">
        <f>IF(G76&lt;&gt;"","Allocated","Available")</f>
        <v/>
      </c>
    </row>
    <row r="77">
      <c r="A77" s="6" t="inlineStr">
        <is>
          <t>T</t>
        </is>
      </c>
      <c r="B77" s="6" t="n">
        <v>4</v>
      </c>
      <c r="C77" s="6" t="inlineStr">
        <is>
          <t>C</t>
        </is>
      </c>
      <c r="D77" s="7" t="inlineStr">
        <is>
          <t>06</t>
        </is>
      </c>
      <c r="E77" s="7" t="n">
        <v>6</v>
      </c>
      <c r="F77" s="7">
        <f>A77&amp;B77&amp;"-"&amp;C77&amp;E77&amp;"-"&amp;D77</f>
        <v/>
      </c>
      <c r="G77" s="7" t="n"/>
      <c r="H77" s="47">
        <f>_xlfn.XLOOKUP(G77,'All Associates'!A:A,'All Associates'!B:B)</f>
        <v/>
      </c>
      <c r="I77" s="47">
        <f>_xlfn.XLOOKUP(G77,'All Associates'!A:A,'All Associates'!D:D)</f>
        <v/>
      </c>
      <c r="J77" s="6">
        <f>IF(G77&lt;&gt;"","Allocated","Available")</f>
        <v/>
      </c>
    </row>
    <row r="78">
      <c r="A78" s="6" t="inlineStr">
        <is>
          <t>T</t>
        </is>
      </c>
      <c r="B78" s="6" t="n">
        <v>4</v>
      </c>
      <c r="C78" s="6" t="inlineStr">
        <is>
          <t>C</t>
        </is>
      </c>
      <c r="D78" s="7" t="inlineStr">
        <is>
          <t>01</t>
        </is>
      </c>
      <c r="E78" s="7" t="inlineStr">
        <is>
          <t>M1</t>
        </is>
      </c>
      <c r="F78" s="7">
        <f>A78&amp;B78&amp;"-"&amp;C78&amp;E78&amp;"-"&amp;D78</f>
        <v/>
      </c>
      <c r="G78" s="7" t="n">
        <v>219</v>
      </c>
      <c r="H78" s="47">
        <f>_xlfn.XLOOKUP(G78,'All Associates'!A:A,'All Associates'!B:B)</f>
        <v/>
      </c>
      <c r="I78" s="47">
        <f>_xlfn.XLOOKUP(G78,'All Associates'!A:A,'All Associates'!D:D)</f>
        <v/>
      </c>
      <c r="J78" s="6">
        <f>IF(G78&lt;&gt;"","Allocated","Available")</f>
        <v/>
      </c>
    </row>
    <row r="79">
      <c r="A79" s="6" t="inlineStr">
        <is>
          <t>T</t>
        </is>
      </c>
      <c r="B79" s="6" t="n">
        <v>4</v>
      </c>
      <c r="C79" s="6" t="inlineStr">
        <is>
          <t>C</t>
        </is>
      </c>
      <c r="D79" s="7" t="inlineStr">
        <is>
          <t>01</t>
        </is>
      </c>
      <c r="E79" s="7" t="inlineStr">
        <is>
          <t>M2</t>
        </is>
      </c>
      <c r="F79" s="7">
        <f>A79&amp;B79&amp;"-"&amp;C79&amp;E79&amp;"-"&amp;D79</f>
        <v/>
      </c>
      <c r="G79" s="7" t="n">
        <v>170</v>
      </c>
      <c r="H79" s="47">
        <f>_xlfn.XLOOKUP(G79,'All Associates'!A:A,'All Associates'!B:B)</f>
        <v/>
      </c>
      <c r="I79" s="47">
        <f>_xlfn.XLOOKUP(G79,'All Associates'!A:A,'All Associates'!D:D)</f>
        <v/>
      </c>
      <c r="J79" s="6">
        <f>IF(G79&lt;&gt;"","Allocated","Available")</f>
        <v/>
      </c>
    </row>
    <row r="80">
      <c r="A80" s="6" t="inlineStr">
        <is>
          <t>T</t>
        </is>
      </c>
      <c r="B80" s="6" t="n">
        <v>4</v>
      </c>
      <c r="C80" s="6" t="inlineStr">
        <is>
          <t>D</t>
        </is>
      </c>
      <c r="D80" s="7" t="inlineStr">
        <is>
          <t>01</t>
        </is>
      </c>
      <c r="E80" s="7" t="n">
        <v>1</v>
      </c>
      <c r="F80" s="7">
        <f>A80&amp;B80&amp;"-"&amp;C80&amp;E80&amp;"-"&amp;D80</f>
        <v/>
      </c>
      <c r="G80" s="7" t="n">
        <v>231</v>
      </c>
      <c r="H80" s="47">
        <f>_xlfn.XLOOKUP(G80,'All Associates'!A:A,'All Associates'!B:B)</f>
        <v/>
      </c>
      <c r="I80" s="47">
        <f>_xlfn.XLOOKUP(G80,'All Associates'!A:A,'All Associates'!D:D)</f>
        <v/>
      </c>
      <c r="J80" s="6">
        <f>IF(G80&lt;&gt;"","Allocated","Available")</f>
        <v/>
      </c>
    </row>
    <row r="81">
      <c r="A81" s="6" t="inlineStr">
        <is>
          <t>T</t>
        </is>
      </c>
      <c r="B81" s="6" t="n">
        <v>4</v>
      </c>
      <c r="C81" s="6" t="inlineStr">
        <is>
          <t>D</t>
        </is>
      </c>
      <c r="D81" s="7" t="inlineStr">
        <is>
          <t>02</t>
        </is>
      </c>
      <c r="E81" s="7" t="n">
        <v>1</v>
      </c>
      <c r="F81" s="7">
        <f>A81&amp;B81&amp;"-"&amp;C81&amp;E81&amp;"-"&amp;D81</f>
        <v/>
      </c>
      <c r="G81" s="7" t="n">
        <v>1142</v>
      </c>
      <c r="H81" s="47">
        <f>_xlfn.XLOOKUP(G81,'All Associates'!A:A,'All Associates'!B:B)</f>
        <v/>
      </c>
      <c r="I81" s="47">
        <f>_xlfn.XLOOKUP(G81,'All Associates'!A:A,'All Associates'!D:D)</f>
        <v/>
      </c>
      <c r="J81" s="6">
        <f>IF(G81&lt;&gt;"","Allocated","Available")</f>
        <v/>
      </c>
    </row>
    <row r="82">
      <c r="A82" s="6" t="inlineStr">
        <is>
          <t>T</t>
        </is>
      </c>
      <c r="B82" s="6" t="n">
        <v>4</v>
      </c>
      <c r="C82" s="6" t="inlineStr">
        <is>
          <t>D</t>
        </is>
      </c>
      <c r="D82" s="7" t="inlineStr">
        <is>
          <t>03</t>
        </is>
      </c>
      <c r="E82" s="7" t="n">
        <v>1</v>
      </c>
      <c r="F82" s="7">
        <f>A82&amp;B82&amp;"-"&amp;C82&amp;E82&amp;"-"&amp;D82</f>
        <v/>
      </c>
      <c r="G82" s="7" t="n">
        <v>1138</v>
      </c>
      <c r="H82" s="47">
        <f>_xlfn.XLOOKUP(G82,'All Associates'!A:A,'All Associates'!B:B)</f>
        <v/>
      </c>
      <c r="I82" s="47">
        <f>_xlfn.XLOOKUP(G82,'All Associates'!A:A,'All Associates'!D:D)</f>
        <v/>
      </c>
      <c r="J82" s="6">
        <f>IF(G82&lt;&gt;"","Allocated","Available")</f>
        <v/>
      </c>
    </row>
    <row r="83">
      <c r="A83" s="6" t="inlineStr">
        <is>
          <t>T</t>
        </is>
      </c>
      <c r="B83" s="6" t="n">
        <v>4</v>
      </c>
      <c r="C83" s="6" t="inlineStr">
        <is>
          <t>D</t>
        </is>
      </c>
      <c r="D83" s="7" t="inlineStr">
        <is>
          <t>04</t>
        </is>
      </c>
      <c r="E83" s="7" t="n">
        <v>1</v>
      </c>
      <c r="F83" s="7">
        <f>A83&amp;B83&amp;"-"&amp;C83&amp;E83&amp;"-"&amp;D83</f>
        <v/>
      </c>
      <c r="G83" s="7" t="n">
        <v>1124</v>
      </c>
      <c r="H83" s="47">
        <f>_xlfn.XLOOKUP(G83,'All Associates'!A:A,'All Associates'!B:B)</f>
        <v/>
      </c>
      <c r="I83" s="47">
        <f>_xlfn.XLOOKUP(G83,'All Associates'!A:A,'All Associates'!D:D)</f>
        <v/>
      </c>
      <c r="J83" s="6">
        <f>IF(G83&lt;&gt;"","Allocated","Available")</f>
        <v/>
      </c>
    </row>
    <row r="84">
      <c r="A84" s="6" t="inlineStr">
        <is>
          <t>T</t>
        </is>
      </c>
      <c r="B84" s="6" t="n">
        <v>4</v>
      </c>
      <c r="C84" s="6" t="inlineStr">
        <is>
          <t>D</t>
        </is>
      </c>
      <c r="D84" s="7" t="inlineStr">
        <is>
          <t>05</t>
        </is>
      </c>
      <c r="E84" s="7" t="n">
        <v>1</v>
      </c>
      <c r="F84" s="7">
        <f>A84&amp;B84&amp;"-"&amp;C84&amp;E84&amp;"-"&amp;D84</f>
        <v/>
      </c>
      <c r="G84" s="7" t="n">
        <v>1058</v>
      </c>
      <c r="H84" s="47">
        <f>_xlfn.XLOOKUP(G84,'All Associates'!A:A,'All Associates'!B:B)</f>
        <v/>
      </c>
      <c r="I84" s="47">
        <f>_xlfn.XLOOKUP(G84,'All Associates'!A:A,'All Associates'!D:D)</f>
        <v/>
      </c>
      <c r="J84" s="6">
        <f>IF(G84&lt;&gt;"","Allocated","Available")</f>
        <v/>
      </c>
    </row>
    <row r="85">
      <c r="A85" s="6" t="inlineStr">
        <is>
          <t>T</t>
        </is>
      </c>
      <c r="B85" s="6" t="n">
        <v>4</v>
      </c>
      <c r="C85" s="6" t="inlineStr">
        <is>
          <t>D</t>
        </is>
      </c>
      <c r="D85" s="7" t="inlineStr">
        <is>
          <t>06</t>
        </is>
      </c>
      <c r="E85" s="7" t="n">
        <v>1</v>
      </c>
      <c r="F85" s="7">
        <f>A85&amp;B85&amp;"-"&amp;C85&amp;E85&amp;"-"&amp;D85</f>
        <v/>
      </c>
      <c r="G85" s="7" t="n">
        <v>918</v>
      </c>
      <c r="H85" s="47">
        <f>_xlfn.XLOOKUP(G85,'All Associates'!A:A,'All Associates'!B:B)</f>
        <v/>
      </c>
      <c r="I85" s="47">
        <f>_xlfn.XLOOKUP(G85,'All Associates'!A:A,'All Associates'!D:D)</f>
        <v/>
      </c>
      <c r="J85" s="6">
        <f>IF(G85&lt;&gt;"","Allocated","Available")</f>
        <v/>
      </c>
    </row>
    <row r="86">
      <c r="A86" s="6" t="inlineStr">
        <is>
          <t>T</t>
        </is>
      </c>
      <c r="B86" s="6" t="n">
        <v>4</v>
      </c>
      <c r="C86" s="6" t="inlineStr">
        <is>
          <t>D</t>
        </is>
      </c>
      <c r="D86" s="7" t="inlineStr">
        <is>
          <t>01</t>
        </is>
      </c>
      <c r="E86" s="7" t="n">
        <v>2</v>
      </c>
      <c r="F86" s="7">
        <f>A86&amp;B86&amp;"-"&amp;C86&amp;E86&amp;"-"&amp;D86</f>
        <v/>
      </c>
      <c r="G86" s="7" t="n">
        <v>848</v>
      </c>
      <c r="H86" s="47">
        <f>_xlfn.XLOOKUP(G86,'All Associates'!A:A,'All Associates'!B:B)</f>
        <v/>
      </c>
      <c r="I86" s="47">
        <f>_xlfn.XLOOKUP(G86,'All Associates'!A:A,'All Associates'!D:D)</f>
        <v/>
      </c>
      <c r="J86" s="6">
        <f>IF(G86&lt;&gt;"","Allocated","Available")</f>
        <v/>
      </c>
    </row>
    <row r="87">
      <c r="A87" s="6" t="inlineStr">
        <is>
          <t>T</t>
        </is>
      </c>
      <c r="B87" s="6" t="n">
        <v>4</v>
      </c>
      <c r="C87" s="6" t="inlineStr">
        <is>
          <t>D</t>
        </is>
      </c>
      <c r="D87" s="7" t="inlineStr">
        <is>
          <t>02</t>
        </is>
      </c>
      <c r="E87" s="7" t="n">
        <v>2</v>
      </c>
      <c r="F87" s="7">
        <f>A87&amp;B87&amp;"-"&amp;C87&amp;E87&amp;"-"&amp;D87</f>
        <v/>
      </c>
      <c r="G87" s="7" t="n">
        <v>83</v>
      </c>
      <c r="H87" s="47">
        <f>_xlfn.XLOOKUP(G87,'All Associates'!A:A,'All Associates'!B:B)</f>
        <v/>
      </c>
      <c r="I87" s="47">
        <f>_xlfn.XLOOKUP(G87,'All Associates'!A:A,'All Associates'!D:D)</f>
        <v/>
      </c>
      <c r="J87" s="6">
        <f>IF(G87&lt;&gt;"","Allocated","Available")</f>
        <v/>
      </c>
    </row>
    <row r="88">
      <c r="A88" s="6" t="inlineStr">
        <is>
          <t>T</t>
        </is>
      </c>
      <c r="B88" s="6" t="n">
        <v>4</v>
      </c>
      <c r="C88" s="6" t="inlineStr">
        <is>
          <t>D</t>
        </is>
      </c>
      <c r="D88" s="7" t="inlineStr">
        <is>
          <t>03</t>
        </is>
      </c>
      <c r="E88" s="7" t="n">
        <v>2</v>
      </c>
      <c r="F88" s="7">
        <f>A88&amp;B88&amp;"-"&amp;C88&amp;E88&amp;"-"&amp;D88</f>
        <v/>
      </c>
      <c r="G88" s="7" t="n">
        <v>2022</v>
      </c>
      <c r="H88" s="47">
        <f>_xlfn.XLOOKUP(G88,'All Associates'!A:A,'All Associates'!B:B)</f>
        <v/>
      </c>
      <c r="I88" s="47">
        <f>_xlfn.XLOOKUP(G88,'All Associates'!A:A,'All Associates'!D:D)</f>
        <v/>
      </c>
      <c r="J88" s="6">
        <f>IF(G88&lt;&gt;"","Allocated","Available")</f>
        <v/>
      </c>
    </row>
    <row r="89">
      <c r="A89" s="6" t="inlineStr">
        <is>
          <t>T</t>
        </is>
      </c>
      <c r="B89" s="6" t="n">
        <v>4</v>
      </c>
      <c r="C89" s="6" t="inlineStr">
        <is>
          <t>D</t>
        </is>
      </c>
      <c r="D89" s="7" t="inlineStr">
        <is>
          <t>04</t>
        </is>
      </c>
      <c r="E89" s="7" t="n">
        <v>2</v>
      </c>
      <c r="F89" s="7">
        <f>A89&amp;B89&amp;"-"&amp;C89&amp;E89&amp;"-"&amp;D89</f>
        <v/>
      </c>
      <c r="G89" s="1" t="n">
        <v>1211</v>
      </c>
      <c r="H89" s="47">
        <f>_xlfn.XLOOKUP(G89,'All Associates'!A:A,'All Associates'!B:B)</f>
        <v/>
      </c>
      <c r="I89" s="47">
        <f>_xlfn.XLOOKUP(G89,'All Associates'!A:A,'All Associates'!D:D)</f>
        <v/>
      </c>
      <c r="J89" s="6">
        <f>IF(G89&lt;&gt;"","Allocated","Available")</f>
        <v/>
      </c>
    </row>
    <row r="90">
      <c r="A90" s="6" t="inlineStr">
        <is>
          <t>T</t>
        </is>
      </c>
      <c r="B90" s="6" t="n">
        <v>4</v>
      </c>
      <c r="C90" s="6" t="inlineStr">
        <is>
          <t>D</t>
        </is>
      </c>
      <c r="D90" s="7" t="inlineStr">
        <is>
          <t>05</t>
        </is>
      </c>
      <c r="E90" s="7" t="n">
        <v>2</v>
      </c>
      <c r="F90" s="7">
        <f>A90&amp;B90&amp;"-"&amp;C90&amp;E90&amp;"-"&amp;D90</f>
        <v/>
      </c>
      <c r="G90" s="7" t="n">
        <v>799</v>
      </c>
      <c r="H90" s="47">
        <f>_xlfn.XLOOKUP(G90,'All Associates'!A:A,'All Associates'!B:B)</f>
        <v/>
      </c>
      <c r="I90" s="47">
        <f>_xlfn.XLOOKUP(G90,'All Associates'!A:A,'All Associates'!D:D)</f>
        <v/>
      </c>
      <c r="J90" s="6">
        <f>IF(G90&lt;&gt;"","Allocated","Available")</f>
        <v/>
      </c>
    </row>
    <row r="91">
      <c r="A91" s="6" t="inlineStr">
        <is>
          <t>T</t>
        </is>
      </c>
      <c r="B91" s="6" t="n">
        <v>4</v>
      </c>
      <c r="C91" s="6" t="inlineStr">
        <is>
          <t>D</t>
        </is>
      </c>
      <c r="D91" s="7" t="inlineStr">
        <is>
          <t>06</t>
        </is>
      </c>
      <c r="E91" s="7" t="n">
        <v>2</v>
      </c>
      <c r="F91" s="7">
        <f>A91&amp;B91&amp;"-"&amp;C91&amp;E91&amp;"-"&amp;D91</f>
        <v/>
      </c>
      <c r="G91" s="7" t="n">
        <v>285</v>
      </c>
      <c r="H91" s="47">
        <f>_xlfn.XLOOKUP(G91,'All Associates'!A:A,'All Associates'!B:B)</f>
        <v/>
      </c>
      <c r="I91" s="47">
        <f>_xlfn.XLOOKUP(G91,'All Associates'!A:A,'All Associates'!D:D)</f>
        <v/>
      </c>
      <c r="J91" s="6">
        <f>IF(G91&lt;&gt;"","Allocated","Available")</f>
        <v/>
      </c>
    </row>
    <row r="92">
      <c r="A92" s="6" t="inlineStr">
        <is>
          <t>T</t>
        </is>
      </c>
      <c r="B92" s="6" t="n">
        <v>4</v>
      </c>
      <c r="C92" s="6" t="inlineStr">
        <is>
          <t>D</t>
        </is>
      </c>
      <c r="D92" s="7" t="inlineStr">
        <is>
          <t>01</t>
        </is>
      </c>
      <c r="E92" s="7" t="n">
        <v>3</v>
      </c>
      <c r="F92" s="7">
        <f>A92&amp;B92&amp;"-"&amp;C92&amp;E92&amp;"-"&amp;D92</f>
        <v/>
      </c>
      <c r="G92" s="7" t="n">
        <v>562</v>
      </c>
      <c r="H92" s="47">
        <f>_xlfn.XLOOKUP(G92,'All Associates'!A:A,'All Associates'!B:B)</f>
        <v/>
      </c>
      <c r="I92" s="47">
        <f>_xlfn.XLOOKUP(G92,'All Associates'!A:A,'All Associates'!D:D)</f>
        <v/>
      </c>
      <c r="J92" s="6">
        <f>IF(G92&lt;&gt;"","Allocated","Available")</f>
        <v/>
      </c>
    </row>
    <row r="93">
      <c r="A93" s="6" t="inlineStr">
        <is>
          <t>T</t>
        </is>
      </c>
      <c r="B93" s="6" t="n">
        <v>4</v>
      </c>
      <c r="C93" s="6" t="inlineStr">
        <is>
          <t>D</t>
        </is>
      </c>
      <c r="D93" s="7" t="inlineStr">
        <is>
          <t>02</t>
        </is>
      </c>
      <c r="E93" s="7" t="n">
        <v>3</v>
      </c>
      <c r="F93" s="7">
        <f>A93&amp;B93&amp;"-"&amp;C93&amp;E93&amp;"-"&amp;D93</f>
        <v/>
      </c>
      <c r="G93" s="7" t="n">
        <v>856</v>
      </c>
      <c r="H93" s="47">
        <f>_xlfn.XLOOKUP(G93,'All Associates'!A:A,'All Associates'!B:B)</f>
        <v/>
      </c>
      <c r="I93" s="47">
        <f>_xlfn.XLOOKUP(G93,'All Associates'!A:A,'All Associates'!D:D)</f>
        <v/>
      </c>
      <c r="J93" s="6">
        <f>IF(G93&lt;&gt;"","Allocated","Available")</f>
        <v/>
      </c>
    </row>
    <row r="94">
      <c r="A94" s="6" t="inlineStr">
        <is>
          <t>T</t>
        </is>
      </c>
      <c r="B94" s="6" t="n">
        <v>4</v>
      </c>
      <c r="C94" s="6" t="inlineStr">
        <is>
          <t>D</t>
        </is>
      </c>
      <c r="D94" s="7" t="inlineStr">
        <is>
          <t>03</t>
        </is>
      </c>
      <c r="E94" s="7" t="n">
        <v>3</v>
      </c>
      <c r="F94" s="7">
        <f>A94&amp;B94&amp;"-"&amp;C94&amp;E94&amp;"-"&amp;D94</f>
        <v/>
      </c>
      <c r="G94" s="7" t="n"/>
      <c r="H94" s="47">
        <f>_xlfn.XLOOKUP(G94,'All Associates'!A:A,'All Associates'!B:B)</f>
        <v/>
      </c>
      <c r="I94" s="47">
        <f>_xlfn.XLOOKUP(G94,'All Associates'!A:A,'All Associates'!D:D)</f>
        <v/>
      </c>
      <c r="J94" s="6">
        <f>IF(G94&lt;&gt;"","Allocated","Available")</f>
        <v/>
      </c>
    </row>
    <row r="95">
      <c r="A95" s="6" t="inlineStr">
        <is>
          <t>T</t>
        </is>
      </c>
      <c r="B95" s="6" t="n">
        <v>4</v>
      </c>
      <c r="C95" s="6" t="inlineStr">
        <is>
          <t>D</t>
        </is>
      </c>
      <c r="D95" s="7" t="inlineStr">
        <is>
          <t>04</t>
        </is>
      </c>
      <c r="E95" s="7" t="n">
        <v>3</v>
      </c>
      <c r="F95" s="7">
        <f>A95&amp;B95&amp;"-"&amp;C95&amp;E95&amp;"-"&amp;D95</f>
        <v/>
      </c>
      <c r="G95" s="7" t="n">
        <v>1165</v>
      </c>
      <c r="H95" s="47">
        <f>_xlfn.XLOOKUP(G95,'All Associates'!A:A,'All Associates'!B:B)</f>
        <v/>
      </c>
      <c r="I95" s="47">
        <f>_xlfn.XLOOKUP(G95,'All Associates'!A:A,'All Associates'!D:D)</f>
        <v/>
      </c>
      <c r="J95" s="6">
        <f>IF(G95&lt;&gt;"","Allocated","Available")</f>
        <v/>
      </c>
    </row>
    <row r="96">
      <c r="A96" s="6" t="inlineStr">
        <is>
          <t>T</t>
        </is>
      </c>
      <c r="B96" s="6" t="n">
        <v>4</v>
      </c>
      <c r="C96" s="6" t="inlineStr">
        <is>
          <t>D</t>
        </is>
      </c>
      <c r="D96" s="7" t="inlineStr">
        <is>
          <t>05</t>
        </is>
      </c>
      <c r="E96" s="7" t="n">
        <v>3</v>
      </c>
      <c r="F96" s="7">
        <f>A96&amp;B96&amp;"-"&amp;C96&amp;E96&amp;"-"&amp;D96</f>
        <v/>
      </c>
      <c r="G96" s="7" t="n">
        <v>972</v>
      </c>
      <c r="H96" s="47">
        <f>_xlfn.XLOOKUP(G96,'All Associates'!A:A,'All Associates'!B:B)</f>
        <v/>
      </c>
      <c r="I96" s="47">
        <f>_xlfn.XLOOKUP(G96,'All Associates'!A:A,'All Associates'!D:D)</f>
        <v/>
      </c>
      <c r="J96" s="6">
        <f>IF(G96&lt;&gt;"","Allocated","Available")</f>
        <v/>
      </c>
    </row>
    <row r="97">
      <c r="A97" s="6" t="inlineStr">
        <is>
          <t>T</t>
        </is>
      </c>
      <c r="B97" s="6" t="n">
        <v>4</v>
      </c>
      <c r="C97" s="6" t="inlineStr">
        <is>
          <t>D</t>
        </is>
      </c>
      <c r="D97" s="7" t="inlineStr">
        <is>
          <t>06</t>
        </is>
      </c>
      <c r="E97" s="7" t="n">
        <v>3</v>
      </c>
      <c r="F97" s="7">
        <f>A97&amp;B97&amp;"-"&amp;C97&amp;E97&amp;"-"&amp;D97</f>
        <v/>
      </c>
      <c r="G97" s="7" t="n">
        <v>748</v>
      </c>
      <c r="H97" s="47">
        <f>_xlfn.XLOOKUP(G97,'All Associates'!A:A,'All Associates'!B:B)</f>
        <v/>
      </c>
      <c r="I97" s="47">
        <f>_xlfn.XLOOKUP(G97,'All Associates'!A:A,'All Associates'!D:D)</f>
        <v/>
      </c>
      <c r="J97" s="6">
        <f>IF(G97&lt;&gt;"","Allocated","Available")</f>
        <v/>
      </c>
    </row>
    <row r="98">
      <c r="A98" s="6" t="inlineStr">
        <is>
          <t>T</t>
        </is>
      </c>
      <c r="B98" s="6" t="n">
        <v>4</v>
      </c>
      <c r="C98" s="6" t="inlineStr">
        <is>
          <t>D</t>
        </is>
      </c>
      <c r="D98" s="7" t="inlineStr">
        <is>
          <t>01</t>
        </is>
      </c>
      <c r="E98" s="7" t="n">
        <v>4</v>
      </c>
      <c r="F98" s="7">
        <f>A98&amp;B98&amp;"-"&amp;C98&amp;E98&amp;"-"&amp;D98</f>
        <v/>
      </c>
      <c r="G98" s="7" t="n">
        <v>745</v>
      </c>
      <c r="H98" s="47">
        <f>_xlfn.XLOOKUP(G98,'All Associates'!A:A,'All Associates'!B:B)</f>
        <v/>
      </c>
      <c r="I98" s="47">
        <f>_xlfn.XLOOKUP(G98,'All Associates'!A:A,'All Associates'!D:D)</f>
        <v/>
      </c>
      <c r="J98" s="6">
        <f>IF(G98&lt;&gt;"","Allocated","Available")</f>
        <v/>
      </c>
    </row>
    <row r="99">
      <c r="A99" s="6" t="inlineStr">
        <is>
          <t>T</t>
        </is>
      </c>
      <c r="B99" s="6" t="n">
        <v>4</v>
      </c>
      <c r="C99" s="6" t="inlineStr">
        <is>
          <t>D</t>
        </is>
      </c>
      <c r="D99" s="7" t="inlineStr">
        <is>
          <t>02</t>
        </is>
      </c>
      <c r="E99" s="7" t="n">
        <v>4</v>
      </c>
      <c r="F99" s="7">
        <f>A99&amp;B99&amp;"-"&amp;C99&amp;E99&amp;"-"&amp;D99</f>
        <v/>
      </c>
      <c r="G99" s="7" t="n">
        <v>699</v>
      </c>
      <c r="H99" s="47">
        <f>_xlfn.XLOOKUP(G99,'All Associates'!A:A,'All Associates'!B:B)</f>
        <v/>
      </c>
      <c r="I99" s="47">
        <f>_xlfn.XLOOKUP(G99,'All Associates'!A:A,'All Associates'!D:D)</f>
        <v/>
      </c>
      <c r="J99" s="6">
        <f>IF(G99&lt;&gt;"","Allocated","Available")</f>
        <v/>
      </c>
    </row>
    <row r="100">
      <c r="A100" s="6" t="inlineStr">
        <is>
          <t>T</t>
        </is>
      </c>
      <c r="B100" s="6" t="n">
        <v>4</v>
      </c>
      <c r="C100" s="6" t="inlineStr">
        <is>
          <t>D</t>
        </is>
      </c>
      <c r="D100" s="7" t="inlineStr">
        <is>
          <t>03</t>
        </is>
      </c>
      <c r="E100" s="7" t="n">
        <v>4</v>
      </c>
      <c r="F100" s="7">
        <f>A100&amp;B100&amp;"-"&amp;C100&amp;E100&amp;"-"&amp;D100</f>
        <v/>
      </c>
      <c r="G100" s="7" t="n">
        <v>1057</v>
      </c>
      <c r="H100" s="47">
        <f>_xlfn.XLOOKUP(G100,'All Associates'!A:A,'All Associates'!B:B)</f>
        <v/>
      </c>
      <c r="I100" s="47">
        <f>_xlfn.XLOOKUP(G100,'All Associates'!A:A,'All Associates'!D:D)</f>
        <v/>
      </c>
      <c r="J100" s="6">
        <f>IF(G100&lt;&gt;"","Allocated","Available")</f>
        <v/>
      </c>
    </row>
    <row r="101">
      <c r="A101" s="6" t="inlineStr">
        <is>
          <t>T</t>
        </is>
      </c>
      <c r="B101" s="6" t="n">
        <v>4</v>
      </c>
      <c r="C101" s="6" t="inlineStr">
        <is>
          <t>D</t>
        </is>
      </c>
      <c r="D101" s="7" t="inlineStr">
        <is>
          <t>04</t>
        </is>
      </c>
      <c r="E101" s="7" t="n">
        <v>4</v>
      </c>
      <c r="F101" s="7">
        <f>A101&amp;B101&amp;"-"&amp;C101&amp;E101&amp;"-"&amp;D101</f>
        <v/>
      </c>
      <c r="G101" s="7" t="n">
        <v>619</v>
      </c>
      <c r="H101" s="47">
        <f>_xlfn.XLOOKUP(G101,'All Associates'!A:A,'All Associates'!B:B)</f>
        <v/>
      </c>
      <c r="I101" s="47">
        <f>_xlfn.XLOOKUP(G101,'All Associates'!A:A,'All Associates'!D:D)</f>
        <v/>
      </c>
      <c r="J101" s="6">
        <f>IF(G101&lt;&gt;"","Allocated","Available")</f>
        <v/>
      </c>
    </row>
    <row r="102">
      <c r="A102" s="6" t="inlineStr">
        <is>
          <t>T</t>
        </is>
      </c>
      <c r="B102" s="6" t="n">
        <v>4</v>
      </c>
      <c r="C102" s="6" t="inlineStr">
        <is>
          <t>D</t>
        </is>
      </c>
      <c r="D102" s="7" t="inlineStr">
        <is>
          <t>05</t>
        </is>
      </c>
      <c r="E102" s="7" t="n">
        <v>4</v>
      </c>
      <c r="F102" s="7">
        <f>A102&amp;B102&amp;"-"&amp;C102&amp;E102&amp;"-"&amp;D102</f>
        <v/>
      </c>
      <c r="G102" s="7" t="n">
        <v>1075</v>
      </c>
      <c r="H102" s="47">
        <f>_xlfn.XLOOKUP(G102,'All Associates'!A:A,'All Associates'!B:B)</f>
        <v/>
      </c>
      <c r="I102" s="47">
        <f>_xlfn.XLOOKUP(G102,'All Associates'!A:A,'All Associates'!D:D)</f>
        <v/>
      </c>
      <c r="J102" s="6">
        <f>IF(G102&lt;&gt;"","Allocated","Available")</f>
        <v/>
      </c>
    </row>
    <row r="103">
      <c r="A103" s="6" t="inlineStr">
        <is>
          <t>T</t>
        </is>
      </c>
      <c r="B103" s="6" t="n">
        <v>4</v>
      </c>
      <c r="C103" s="6" t="inlineStr">
        <is>
          <t>D</t>
        </is>
      </c>
      <c r="D103" s="7" t="inlineStr">
        <is>
          <t>06</t>
        </is>
      </c>
      <c r="E103" s="7" t="n">
        <v>4</v>
      </c>
      <c r="F103" s="7">
        <f>A103&amp;B103&amp;"-"&amp;C103&amp;E103&amp;"-"&amp;D103</f>
        <v/>
      </c>
      <c r="G103" s="7" t="n">
        <v>2036</v>
      </c>
      <c r="H103" s="47">
        <f>_xlfn.XLOOKUP(G103,'All Associates'!A:A,'All Associates'!B:B)</f>
        <v/>
      </c>
      <c r="I103" s="47">
        <f>_xlfn.XLOOKUP(G103,'All Associates'!A:A,'All Associates'!D:D)</f>
        <v/>
      </c>
      <c r="J103" s="6">
        <f>IF(G103&lt;&gt;"","Allocated","Available")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0bhnnpdX4leTsromohy7bQ==" formatRows="1" sort="0" spinCount="100000" hashValue="K8MuLmxCeAXGYOf7x1MUAyEpGjiHB45WAg1ngJ7hx8Xj31ci49MXTjHckOVYF1FuCA6zK/TQE46Ixh+y3DMimw=="/>
  <autoFilter ref="A1:J103"/>
  <conditionalFormatting sqref="G1">
    <cfRule type="duplicateValues" priority="2" dxfId="0"/>
  </conditionalFormatting>
  <conditionalFormatting sqref="G1:G1048576">
    <cfRule type="duplicateValues" priority="1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7"/>
  <sheetViews>
    <sheetView showGridLines="0" tabSelected="1" zoomScaleNormal="100" workbookViewId="0">
      <pane xSplit="3" ySplit="1" topLeftCell="D2" activePane="bottomRight" state="frozen"/>
      <selection pane="bottomRight" activeCell="O27" sqref="O27"/>
      <selection pane="bottomLeft" activeCell="A2" sqref="A2"/>
      <selection pane="topRight" activeCell="D1" sqref="D1"/>
    </sheetView>
  </sheetViews>
  <sheetFormatPr baseColWidth="8" defaultColWidth="8.7109375" defaultRowHeight="15"/>
  <cols>
    <col width="9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7.42578125" customWidth="1" style="1" min="7" max="7"/>
    <col width="30" customWidth="1" style="18" min="8" max="8"/>
    <col width="24.42578125" customWidth="1" style="1" min="9" max="9"/>
    <col width="17" customWidth="1" min="10" max="10"/>
    <col width="9.42578125" customWidth="1" min="11" max="11"/>
    <col width="9" customWidth="1" min="12" max="12"/>
    <col width="13.42578125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10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T</t>
        </is>
      </c>
      <c r="B2" s="6" t="n">
        <v>5</v>
      </c>
      <c r="C2" s="7" t="inlineStr">
        <is>
          <t>A</t>
        </is>
      </c>
      <c r="D2" s="7" t="inlineStr">
        <is>
          <t>01</t>
        </is>
      </c>
      <c r="E2" s="7" t="n">
        <v>1</v>
      </c>
      <c r="F2" s="7">
        <f>A2&amp;B2&amp;"-"&amp;C2&amp;E2&amp;"-"&amp;D2</f>
        <v/>
      </c>
      <c r="G2" s="7" t="n"/>
      <c r="H2" s="47">
        <f>_xlfn.XLOOKUP(G2,'All Associates'!A:A,'All Associates'!B:B)</f>
        <v/>
      </c>
      <c r="I2" s="7">
        <f>_xlfn.XLOOKUP(G2,'All Associates'!A:A,'All Associates'!D:D)</f>
        <v/>
      </c>
      <c r="J2" s="11">
        <f>IF(G2&lt;&gt;"","Allocated","Available")</f>
        <v/>
      </c>
    </row>
    <row r="3">
      <c r="A3" s="6" t="inlineStr">
        <is>
          <t>T</t>
        </is>
      </c>
      <c r="B3" s="6" t="n">
        <v>5</v>
      </c>
      <c r="C3" s="7" t="inlineStr">
        <is>
          <t>A</t>
        </is>
      </c>
      <c r="D3" s="7" t="inlineStr">
        <is>
          <t>02</t>
        </is>
      </c>
      <c r="E3" s="7" t="n">
        <v>1</v>
      </c>
      <c r="F3" s="7">
        <f>A3&amp;B3&amp;"-"&amp;C3&amp;E3&amp;"-"&amp;D3</f>
        <v/>
      </c>
      <c r="G3" s="7" t="n">
        <v>796</v>
      </c>
      <c r="H3" s="47">
        <f>_xlfn.XLOOKUP(G3,'All Associates'!A:A,'All Associates'!B:B)</f>
        <v/>
      </c>
      <c r="I3" s="7">
        <f>_xlfn.XLOOKUP(G3,'All Associates'!A:A,'All Associates'!D:D)</f>
        <v/>
      </c>
      <c r="J3" s="11">
        <f>IF(G3&lt;&gt;"","Allocated","Available")</f>
        <v/>
      </c>
    </row>
    <row r="4">
      <c r="A4" s="6" t="inlineStr">
        <is>
          <t>T</t>
        </is>
      </c>
      <c r="B4" s="6" t="n">
        <v>5</v>
      </c>
      <c r="C4" s="7" t="inlineStr">
        <is>
          <t>A</t>
        </is>
      </c>
      <c r="D4" s="7" t="inlineStr">
        <is>
          <t>03</t>
        </is>
      </c>
      <c r="E4" s="7" t="n">
        <v>1</v>
      </c>
      <c r="F4" s="7">
        <f>A4&amp;B4&amp;"-"&amp;C4&amp;E4&amp;"-"&amp;D4</f>
        <v/>
      </c>
      <c r="G4" s="7" t="n">
        <v>887</v>
      </c>
      <c r="H4" s="47">
        <f>_xlfn.XLOOKUP(G4,'All Associates'!A:A,'All Associates'!B:B)</f>
        <v/>
      </c>
      <c r="I4" s="7">
        <f>_xlfn.XLOOKUP(G4,'All Associates'!A:A,'All Associates'!D:D)</f>
        <v/>
      </c>
      <c r="J4" s="11">
        <f>IF(G4&lt;&gt;"","Allocated","Available")</f>
        <v/>
      </c>
    </row>
    <row r="5">
      <c r="A5" s="6" t="inlineStr">
        <is>
          <t>T</t>
        </is>
      </c>
      <c r="B5" s="6" t="n">
        <v>5</v>
      </c>
      <c r="C5" s="7" t="inlineStr">
        <is>
          <t>A</t>
        </is>
      </c>
      <c r="D5" s="7" t="inlineStr">
        <is>
          <t>04</t>
        </is>
      </c>
      <c r="E5" s="7" t="n">
        <v>1</v>
      </c>
      <c r="F5" s="7">
        <f>A5&amp;B5&amp;"-"&amp;C5&amp;E5&amp;"-"&amp;D5</f>
        <v/>
      </c>
      <c r="G5" s="7" t="n">
        <v>789</v>
      </c>
      <c r="H5" s="47">
        <f>_xlfn.XLOOKUP(G5,'All Associates'!A:A,'All Associates'!B:B)</f>
        <v/>
      </c>
      <c r="I5" s="7">
        <f>_xlfn.XLOOKUP(G5,'All Associates'!A:A,'All Associates'!D:D)</f>
        <v/>
      </c>
      <c r="J5" s="11">
        <f>IF(G5&lt;&gt;"","Allocated","Available")</f>
        <v/>
      </c>
    </row>
    <row r="6">
      <c r="A6" s="6" t="inlineStr">
        <is>
          <t>T</t>
        </is>
      </c>
      <c r="B6" s="6" t="n">
        <v>5</v>
      </c>
      <c r="C6" s="7" t="inlineStr">
        <is>
          <t>A</t>
        </is>
      </c>
      <c r="D6" s="7" t="inlineStr">
        <is>
          <t>05</t>
        </is>
      </c>
      <c r="E6" s="7" t="n">
        <v>1</v>
      </c>
      <c r="F6" s="7">
        <f>A6&amp;B6&amp;"-"&amp;C6&amp;E6&amp;"-"&amp;D6</f>
        <v/>
      </c>
      <c r="G6" s="7" t="n">
        <v>726</v>
      </c>
      <c r="H6" s="47">
        <f>_xlfn.XLOOKUP(G6,'All Associates'!A:A,'All Associates'!B:B)</f>
        <v/>
      </c>
      <c r="I6" s="7">
        <f>_xlfn.XLOOKUP(G6,'All Associates'!A:A,'All Associates'!D:D)</f>
        <v/>
      </c>
      <c r="J6" s="11">
        <f>IF(G6&lt;&gt;"","Allocated","Available")</f>
        <v/>
      </c>
    </row>
    <row r="7">
      <c r="A7" s="6" t="inlineStr">
        <is>
          <t>T</t>
        </is>
      </c>
      <c r="B7" s="6" t="n">
        <v>5</v>
      </c>
      <c r="C7" s="7" t="inlineStr">
        <is>
          <t>A</t>
        </is>
      </c>
      <c r="D7" s="7" t="inlineStr">
        <is>
          <t>06</t>
        </is>
      </c>
      <c r="E7" s="7" t="n">
        <v>1</v>
      </c>
      <c r="F7" s="7">
        <f>A7&amp;B7&amp;"-"&amp;C7&amp;E7&amp;"-"&amp;D7</f>
        <v/>
      </c>
      <c r="G7" s="7" t="n">
        <v>1027</v>
      </c>
      <c r="H7" s="47">
        <f>_xlfn.XLOOKUP(G7,'All Associates'!A:A,'All Associates'!B:B)</f>
        <v/>
      </c>
      <c r="I7" s="7">
        <f>_xlfn.XLOOKUP(G7,'All Associates'!A:A,'All Associates'!D:D)</f>
        <v/>
      </c>
      <c r="J7" s="11">
        <f>IF(G7&lt;&gt;"","Allocated","Available")</f>
        <v/>
      </c>
    </row>
    <row r="8">
      <c r="A8" s="6" t="inlineStr">
        <is>
          <t>T</t>
        </is>
      </c>
      <c r="B8" s="6" t="n">
        <v>5</v>
      </c>
      <c r="C8" s="7" t="inlineStr">
        <is>
          <t>A</t>
        </is>
      </c>
      <c r="D8" s="7" t="inlineStr">
        <is>
          <t>07</t>
        </is>
      </c>
      <c r="E8" s="7" t="n">
        <v>1</v>
      </c>
      <c r="F8" s="7">
        <f>A8&amp;B8&amp;"-"&amp;C8&amp;E8&amp;"-"&amp;D8</f>
        <v/>
      </c>
      <c r="G8" s="7" t="n">
        <v>1154</v>
      </c>
      <c r="H8" s="47">
        <f>_xlfn.XLOOKUP(G8,'All Associates'!A:A,'All Associates'!B:B)</f>
        <v/>
      </c>
      <c r="I8" s="7">
        <f>_xlfn.XLOOKUP(G8,'All Associates'!A:A,'All Associates'!D:D)</f>
        <v/>
      </c>
      <c r="J8" s="11">
        <f>IF(G8&lt;&gt;"","Allocated","Available")</f>
        <v/>
      </c>
    </row>
    <row r="9">
      <c r="A9" s="6" t="inlineStr">
        <is>
          <t>T</t>
        </is>
      </c>
      <c r="B9" s="6" t="n">
        <v>5</v>
      </c>
      <c r="C9" s="7" t="inlineStr">
        <is>
          <t>A</t>
        </is>
      </c>
      <c r="D9" s="7" t="inlineStr">
        <is>
          <t>08</t>
        </is>
      </c>
      <c r="E9" s="7" t="n">
        <v>1</v>
      </c>
      <c r="F9" s="7">
        <f>A9&amp;B9&amp;"-"&amp;C9&amp;E9&amp;"-"&amp;D9</f>
        <v/>
      </c>
      <c r="G9" s="6" t="n">
        <v>1203</v>
      </c>
      <c r="H9" s="47">
        <f>_xlfn.XLOOKUP(G9,'All Associates'!A:A,'All Associates'!B:B)</f>
        <v/>
      </c>
      <c r="I9" s="7">
        <f>_xlfn.XLOOKUP(G9,'All Associates'!A:A,'All Associates'!D:D)</f>
        <v/>
      </c>
      <c r="J9" s="11">
        <f>IF(G9&lt;&gt;"","Allocated","Available")</f>
        <v/>
      </c>
    </row>
    <row r="10">
      <c r="A10" s="6" t="inlineStr">
        <is>
          <t>T</t>
        </is>
      </c>
      <c r="B10" s="6" t="n">
        <v>5</v>
      </c>
      <c r="C10" s="7" t="inlineStr">
        <is>
          <t>A</t>
        </is>
      </c>
      <c r="D10" s="7" t="inlineStr">
        <is>
          <t>01</t>
        </is>
      </c>
      <c r="E10" s="7" t="n">
        <v>2</v>
      </c>
      <c r="F10" s="7">
        <f>A10&amp;B10&amp;"-"&amp;C10&amp;E10&amp;"-"&amp;D10</f>
        <v/>
      </c>
      <c r="G10" s="7" t="n">
        <v>481</v>
      </c>
      <c r="H10" s="47">
        <f>_xlfn.XLOOKUP(G10,'All Associates'!A:A,'All Associates'!B:B)</f>
        <v/>
      </c>
      <c r="I10" s="7">
        <f>_xlfn.XLOOKUP(G10,'All Associates'!A:A,'All Associates'!D:D)</f>
        <v/>
      </c>
      <c r="J10" s="11">
        <f>IF(G10&lt;&gt;"","Allocated","Available")</f>
        <v/>
      </c>
    </row>
    <row r="11">
      <c r="A11" s="6" t="inlineStr">
        <is>
          <t>T</t>
        </is>
      </c>
      <c r="B11" s="6" t="n">
        <v>5</v>
      </c>
      <c r="C11" s="7" t="inlineStr">
        <is>
          <t>A</t>
        </is>
      </c>
      <c r="D11" s="7" t="inlineStr">
        <is>
          <t>02</t>
        </is>
      </c>
      <c r="E11" s="7" t="n">
        <v>2</v>
      </c>
      <c r="F11" s="7">
        <f>A11&amp;B11&amp;"-"&amp;C11&amp;E11&amp;"-"&amp;D11</f>
        <v/>
      </c>
      <c r="G11" s="7" t="n">
        <v>345</v>
      </c>
      <c r="H11" s="47">
        <f>_xlfn.XLOOKUP(G11,'All Associates'!A:A,'All Associates'!B:B)</f>
        <v/>
      </c>
      <c r="I11" s="7">
        <f>_xlfn.XLOOKUP(G11,'All Associates'!A:A,'All Associates'!D:D)</f>
        <v/>
      </c>
      <c r="J11" s="11">
        <f>IF(G11&lt;&gt;"","Allocated","Available")</f>
        <v/>
      </c>
    </row>
    <row r="12">
      <c r="A12" s="6" t="inlineStr">
        <is>
          <t>T</t>
        </is>
      </c>
      <c r="B12" s="6" t="n">
        <v>5</v>
      </c>
      <c r="C12" s="7" t="inlineStr">
        <is>
          <t>A</t>
        </is>
      </c>
      <c r="D12" s="7" t="inlineStr">
        <is>
          <t>03</t>
        </is>
      </c>
      <c r="E12" s="7" t="n">
        <v>2</v>
      </c>
      <c r="F12" s="7">
        <f>A12&amp;B12&amp;"-"&amp;C12&amp;E12&amp;"-"&amp;D12</f>
        <v/>
      </c>
      <c r="G12" s="7" t="n">
        <v>963</v>
      </c>
      <c r="H12" s="47">
        <f>_xlfn.XLOOKUP(G12,'All Associates'!A:A,'All Associates'!B:B)</f>
        <v/>
      </c>
      <c r="I12" s="7">
        <f>_xlfn.XLOOKUP(G12,'All Associates'!A:A,'All Associates'!D:D)</f>
        <v/>
      </c>
      <c r="J12" s="11">
        <f>IF(G12&lt;&gt;"","Allocated","Available")</f>
        <v/>
      </c>
    </row>
    <row r="13">
      <c r="A13" s="6" t="inlineStr">
        <is>
          <t>T</t>
        </is>
      </c>
      <c r="B13" s="6" t="n">
        <v>5</v>
      </c>
      <c r="C13" s="7" t="inlineStr">
        <is>
          <t>A</t>
        </is>
      </c>
      <c r="D13" s="7" t="inlineStr">
        <is>
          <t>04</t>
        </is>
      </c>
      <c r="E13" s="7" t="n">
        <v>2</v>
      </c>
      <c r="F13" s="7">
        <f>A13&amp;B13&amp;"-"&amp;C13&amp;E13&amp;"-"&amp;D13</f>
        <v/>
      </c>
      <c r="G13" s="7" t="n">
        <v>951</v>
      </c>
      <c r="H13" s="47">
        <f>_xlfn.XLOOKUP(G13,'All Associates'!A:A,'All Associates'!B:B)</f>
        <v/>
      </c>
      <c r="I13" s="7">
        <f>_xlfn.XLOOKUP(G13,'All Associates'!A:A,'All Associates'!D:D)</f>
        <v/>
      </c>
      <c r="J13" s="11">
        <f>IF(G13&lt;&gt;"","Allocated","Available")</f>
        <v/>
      </c>
    </row>
    <row r="14">
      <c r="A14" s="6" t="inlineStr">
        <is>
          <t>T</t>
        </is>
      </c>
      <c r="B14" s="6" t="n">
        <v>5</v>
      </c>
      <c r="C14" s="7" t="inlineStr">
        <is>
          <t>A</t>
        </is>
      </c>
      <c r="D14" s="7" t="inlineStr">
        <is>
          <t>05</t>
        </is>
      </c>
      <c r="E14" s="7" t="n">
        <v>2</v>
      </c>
      <c r="F14" s="7">
        <f>A14&amp;B14&amp;"-"&amp;C14&amp;E14&amp;"-"&amp;D14</f>
        <v/>
      </c>
      <c r="G14" s="7" t="n">
        <v>2055</v>
      </c>
      <c r="H14" s="47">
        <f>_xlfn.XLOOKUP(G14,'All Associates'!A:A,'All Associates'!B:B)</f>
        <v/>
      </c>
      <c r="I14" s="7">
        <f>_xlfn.XLOOKUP(G14,'All Associates'!A:A,'All Associates'!D:D)</f>
        <v/>
      </c>
      <c r="J14" s="11">
        <f>IF(G14&lt;&gt;"","Allocated","Available")</f>
        <v/>
      </c>
    </row>
    <row r="15">
      <c r="A15" s="6" t="inlineStr">
        <is>
          <t>T</t>
        </is>
      </c>
      <c r="B15" s="6" t="n">
        <v>5</v>
      </c>
      <c r="C15" s="7" t="inlineStr">
        <is>
          <t>A</t>
        </is>
      </c>
      <c r="D15" s="7" t="inlineStr">
        <is>
          <t>06</t>
        </is>
      </c>
      <c r="E15" s="7" t="n">
        <v>2</v>
      </c>
      <c r="F15" s="7">
        <f>A15&amp;B15&amp;"-"&amp;C15&amp;E15&amp;"-"&amp;D15</f>
        <v/>
      </c>
      <c r="G15" s="7" t="n">
        <v>1054</v>
      </c>
      <c r="H15" s="47">
        <f>_xlfn.XLOOKUP(G15,'All Associates'!A:A,'All Associates'!B:B)</f>
        <v/>
      </c>
      <c r="I15" s="7">
        <f>_xlfn.XLOOKUP(G15,'All Associates'!A:A,'All Associates'!D:D)</f>
        <v/>
      </c>
      <c r="J15" s="11">
        <f>IF(G15&lt;&gt;"","Allocated","Available")</f>
        <v/>
      </c>
    </row>
    <row r="16">
      <c r="A16" s="6" t="inlineStr">
        <is>
          <t>T</t>
        </is>
      </c>
      <c r="B16" s="6" t="n">
        <v>5</v>
      </c>
      <c r="C16" s="7" t="inlineStr">
        <is>
          <t>A</t>
        </is>
      </c>
      <c r="D16" s="7" t="inlineStr">
        <is>
          <t>07</t>
        </is>
      </c>
      <c r="E16" s="7" t="n">
        <v>2</v>
      </c>
      <c r="F16" s="7">
        <f>A16&amp;B16&amp;"-"&amp;C16&amp;E16&amp;"-"&amp;D16</f>
        <v/>
      </c>
      <c r="G16" s="7" t="n">
        <v>2053</v>
      </c>
      <c r="H16" s="47">
        <f>_xlfn.XLOOKUP(G16,'All Associates'!A:A,'All Associates'!B:B)</f>
        <v/>
      </c>
      <c r="I16" s="7">
        <f>_xlfn.XLOOKUP(G16,'All Associates'!A:A,'All Associates'!D:D)</f>
        <v/>
      </c>
      <c r="J16" s="11">
        <f>IF(G16&lt;&gt;"","Allocated","Available")</f>
        <v/>
      </c>
    </row>
    <row r="17">
      <c r="A17" s="6" t="inlineStr">
        <is>
          <t>T</t>
        </is>
      </c>
      <c r="B17" s="6" t="n">
        <v>5</v>
      </c>
      <c r="C17" s="7" t="inlineStr">
        <is>
          <t>A</t>
        </is>
      </c>
      <c r="D17" s="7" t="inlineStr">
        <is>
          <t>08</t>
        </is>
      </c>
      <c r="E17" s="7" t="n">
        <v>2</v>
      </c>
      <c r="F17" s="7">
        <f>A17&amp;B17&amp;"-"&amp;C17&amp;E17&amp;"-"&amp;D17</f>
        <v/>
      </c>
      <c r="G17" s="7" t="n"/>
      <c r="H17" s="47">
        <f>_xlfn.XLOOKUP(G17,'All Associates'!A:A,'All Associates'!B:B)</f>
        <v/>
      </c>
      <c r="I17" s="7">
        <f>_xlfn.XLOOKUP(G17,'All Associates'!A:A,'All Associates'!D:D)</f>
        <v/>
      </c>
      <c r="J17" s="11">
        <f>IF(G17&lt;&gt;"","Allocated","Available")</f>
        <v/>
      </c>
    </row>
    <row r="18">
      <c r="A18" s="6" t="inlineStr">
        <is>
          <t>T</t>
        </is>
      </c>
      <c r="B18" s="6" t="n">
        <v>5</v>
      </c>
      <c r="C18" s="7" t="inlineStr">
        <is>
          <t>A</t>
        </is>
      </c>
      <c r="D18" s="7" t="inlineStr">
        <is>
          <t>01</t>
        </is>
      </c>
      <c r="E18" s="7" t="n">
        <v>3</v>
      </c>
      <c r="F18" s="7">
        <f>A18&amp;B18&amp;"-"&amp;C18&amp;E18&amp;"-"&amp;D18</f>
        <v/>
      </c>
      <c r="G18" s="7" t="n">
        <v>189</v>
      </c>
      <c r="H18" s="47">
        <f>_xlfn.XLOOKUP(G18,'All Associates'!A:A,'All Associates'!B:B)</f>
        <v/>
      </c>
      <c r="I18" s="7">
        <f>_xlfn.XLOOKUP(G18,'All Associates'!A:A,'All Associates'!D:D)</f>
        <v/>
      </c>
      <c r="J18" s="11">
        <f>IF(G18&lt;&gt;"","Allocated","Available")</f>
        <v/>
      </c>
    </row>
    <row r="19">
      <c r="A19" s="6" t="inlineStr">
        <is>
          <t>T</t>
        </is>
      </c>
      <c r="B19" s="6" t="n">
        <v>5</v>
      </c>
      <c r="C19" s="7" t="inlineStr">
        <is>
          <t>A</t>
        </is>
      </c>
      <c r="D19" s="7" t="inlineStr">
        <is>
          <t>02</t>
        </is>
      </c>
      <c r="E19" s="7" t="n">
        <v>3</v>
      </c>
      <c r="F19" s="7">
        <f>A19&amp;B19&amp;"-"&amp;C19&amp;E19&amp;"-"&amp;D19</f>
        <v/>
      </c>
      <c r="G19" s="7" t="n">
        <v>357</v>
      </c>
      <c r="H19" s="47">
        <f>_xlfn.XLOOKUP(G19,'All Associates'!A:A,'All Associates'!B:B)</f>
        <v/>
      </c>
      <c r="I19" s="7">
        <f>_xlfn.XLOOKUP(G19,'All Associates'!A:A,'All Associates'!D:D)</f>
        <v/>
      </c>
      <c r="J19" s="11">
        <f>IF(G19&lt;&gt;"","Allocated","Available")</f>
        <v/>
      </c>
    </row>
    <row r="20">
      <c r="A20" s="6" t="inlineStr">
        <is>
          <t>T</t>
        </is>
      </c>
      <c r="B20" s="6" t="n">
        <v>5</v>
      </c>
      <c r="C20" s="7" t="inlineStr">
        <is>
          <t>A</t>
        </is>
      </c>
      <c r="D20" s="7" t="inlineStr">
        <is>
          <t>03</t>
        </is>
      </c>
      <c r="E20" s="7" t="n">
        <v>3</v>
      </c>
      <c r="F20" s="7">
        <f>A20&amp;B20&amp;"-"&amp;C20&amp;E20&amp;"-"&amp;D20</f>
        <v/>
      </c>
      <c r="G20" s="7" t="n">
        <v>348</v>
      </c>
      <c r="H20" s="47">
        <f>_xlfn.XLOOKUP(G20,'All Associates'!A:A,'All Associates'!B:B)</f>
        <v/>
      </c>
      <c r="I20" s="7">
        <f>_xlfn.XLOOKUP(G20,'All Associates'!A:A,'All Associates'!D:D)</f>
        <v/>
      </c>
      <c r="J20" s="11">
        <f>IF(G20&lt;&gt;"","Allocated","Available")</f>
        <v/>
      </c>
    </row>
    <row r="21">
      <c r="A21" s="6" t="inlineStr">
        <is>
          <t>T</t>
        </is>
      </c>
      <c r="B21" s="6" t="n">
        <v>5</v>
      </c>
      <c r="C21" s="7" t="inlineStr">
        <is>
          <t>A</t>
        </is>
      </c>
      <c r="D21" s="7" t="inlineStr">
        <is>
          <t>04</t>
        </is>
      </c>
      <c r="E21" s="7" t="n">
        <v>3</v>
      </c>
      <c r="F21" s="7">
        <f>A21&amp;B21&amp;"-"&amp;C21&amp;E21&amp;"-"&amp;D21</f>
        <v/>
      </c>
      <c r="G21" s="7" t="n">
        <v>316</v>
      </c>
      <c r="H21" s="47">
        <f>_xlfn.XLOOKUP(G21,'All Associates'!A:A,'All Associates'!B:B)</f>
        <v/>
      </c>
      <c r="I21" s="7">
        <f>_xlfn.XLOOKUP(G21,'All Associates'!A:A,'All Associates'!D:D)</f>
        <v/>
      </c>
      <c r="J21" s="11">
        <f>IF(G21&lt;&gt;"","Allocated","Available")</f>
        <v/>
      </c>
    </row>
    <row r="22">
      <c r="A22" s="6" t="inlineStr">
        <is>
          <t>T</t>
        </is>
      </c>
      <c r="B22" s="6" t="n">
        <v>5</v>
      </c>
      <c r="C22" s="7" t="inlineStr">
        <is>
          <t>A</t>
        </is>
      </c>
      <c r="D22" s="7" t="inlineStr">
        <is>
          <t>05</t>
        </is>
      </c>
      <c r="E22" s="7" t="n">
        <v>3</v>
      </c>
      <c r="F22" s="7">
        <f>A22&amp;B22&amp;"-"&amp;C22&amp;E22&amp;"-"&amp;D22</f>
        <v/>
      </c>
      <c r="G22" s="7" t="n">
        <v>944</v>
      </c>
      <c r="H22" s="47">
        <f>_xlfn.XLOOKUP(G22,'All Associates'!A:A,'All Associates'!B:B)</f>
        <v/>
      </c>
      <c r="I22" s="7">
        <f>_xlfn.XLOOKUP(G22,'All Associates'!A:A,'All Associates'!D:D)</f>
        <v/>
      </c>
      <c r="J22" s="11">
        <f>IF(G22&lt;&gt;"","Allocated","Available")</f>
        <v/>
      </c>
    </row>
    <row r="23">
      <c r="A23" s="6" t="inlineStr">
        <is>
          <t>T</t>
        </is>
      </c>
      <c r="B23" s="6" t="n">
        <v>5</v>
      </c>
      <c r="C23" s="7" t="inlineStr">
        <is>
          <t>A</t>
        </is>
      </c>
      <c r="D23" s="7" t="inlineStr">
        <is>
          <t>06</t>
        </is>
      </c>
      <c r="E23" s="7" t="n">
        <v>3</v>
      </c>
      <c r="F23" s="7">
        <f>A23&amp;B23&amp;"-"&amp;C23&amp;E23&amp;"-"&amp;D23</f>
        <v/>
      </c>
      <c r="G23" s="7" t="n">
        <v>979</v>
      </c>
      <c r="H23" s="47">
        <f>_xlfn.XLOOKUP(G23,'All Associates'!A:A,'All Associates'!B:B)</f>
        <v/>
      </c>
      <c r="I23" s="7">
        <f>_xlfn.XLOOKUP(G23,'All Associates'!A:A,'All Associates'!D:D)</f>
        <v/>
      </c>
      <c r="J23" s="11">
        <f>IF(G23&lt;&gt;"","Allocated","Available")</f>
        <v/>
      </c>
    </row>
    <row r="24">
      <c r="A24" s="6" t="inlineStr">
        <is>
          <t>T</t>
        </is>
      </c>
      <c r="B24" s="6" t="n">
        <v>5</v>
      </c>
      <c r="C24" s="7" t="inlineStr">
        <is>
          <t>A</t>
        </is>
      </c>
      <c r="D24" s="7" t="inlineStr">
        <is>
          <t>07</t>
        </is>
      </c>
      <c r="E24" s="7" t="n">
        <v>3</v>
      </c>
      <c r="F24" s="7">
        <f>A24&amp;B24&amp;"-"&amp;C24&amp;E24&amp;"-"&amp;D24</f>
        <v/>
      </c>
      <c r="G24" s="7" t="n">
        <v>240</v>
      </c>
      <c r="H24" s="47">
        <f>_xlfn.XLOOKUP(G24,'All Associates'!A:A,'All Associates'!B:B)</f>
        <v/>
      </c>
      <c r="I24" s="7">
        <f>_xlfn.XLOOKUP(G24,'All Associates'!A:A,'All Associates'!D:D)</f>
        <v/>
      </c>
      <c r="J24" s="11">
        <f>IF(G24&lt;&gt;"","Allocated","Available")</f>
        <v/>
      </c>
    </row>
    <row r="25">
      <c r="A25" s="6" t="inlineStr">
        <is>
          <t>T</t>
        </is>
      </c>
      <c r="B25" s="6" t="n">
        <v>5</v>
      </c>
      <c r="C25" s="7" t="inlineStr">
        <is>
          <t>A</t>
        </is>
      </c>
      <c r="D25" s="7" t="inlineStr">
        <is>
          <t>08</t>
        </is>
      </c>
      <c r="E25" s="7" t="n">
        <v>3</v>
      </c>
      <c r="F25" s="7">
        <f>A25&amp;B25&amp;"-"&amp;C25&amp;E25&amp;"-"&amp;D25</f>
        <v/>
      </c>
      <c r="G25" s="7" t="inlineStr">
        <is>
          <t>HW</t>
        </is>
      </c>
      <c r="H25" s="47">
        <f>_xlfn.XLOOKUP(G25,'All Associates'!A:A,'All Associates'!B:B)</f>
        <v/>
      </c>
      <c r="I25" s="7">
        <f>_xlfn.XLOOKUP(G25,'All Associates'!A:A,'All Associates'!D:D)</f>
        <v/>
      </c>
      <c r="J25" s="11">
        <f>IF(G25&lt;&gt;"","Allocated","Available")</f>
        <v/>
      </c>
    </row>
    <row r="26">
      <c r="A26" s="6" t="inlineStr">
        <is>
          <t>T</t>
        </is>
      </c>
      <c r="B26" s="6" t="n">
        <v>5</v>
      </c>
      <c r="C26" s="7" t="inlineStr">
        <is>
          <t>A</t>
        </is>
      </c>
      <c r="D26" s="7" t="inlineStr">
        <is>
          <t>01</t>
        </is>
      </c>
      <c r="E26" s="7" t="inlineStr">
        <is>
          <t>M1</t>
        </is>
      </c>
      <c r="F26" s="7">
        <f>A26&amp;B26&amp;"-"&amp;C26&amp;E26&amp;"-"&amp;D26</f>
        <v/>
      </c>
      <c r="G26" s="7" t="n">
        <v>36</v>
      </c>
      <c r="H26" s="47">
        <f>_xlfn.XLOOKUP(G26,'All Associates'!A:A,'All Associates'!B:B)</f>
        <v/>
      </c>
      <c r="I26" s="7">
        <f>_xlfn.XLOOKUP(G26,'All Associates'!A:A,'All Associates'!D:D)</f>
        <v/>
      </c>
      <c r="J26" s="11">
        <f>IF(G26&lt;&gt;"","Allocated","Available")</f>
        <v/>
      </c>
    </row>
    <row r="27">
      <c r="A27" s="6" t="inlineStr">
        <is>
          <t>T</t>
        </is>
      </c>
      <c r="B27" s="6" t="n">
        <v>5</v>
      </c>
      <c r="C27" s="7" t="inlineStr">
        <is>
          <t>A</t>
        </is>
      </c>
      <c r="D27" s="7" t="inlineStr">
        <is>
          <t>01</t>
        </is>
      </c>
      <c r="E27" s="7" t="n">
        <v>4</v>
      </c>
      <c r="F27" s="7">
        <f>A27&amp;B27&amp;"-"&amp;C27&amp;E27&amp;"-"&amp;D27</f>
        <v/>
      </c>
      <c r="G27" s="7" t="n">
        <v>2046</v>
      </c>
      <c r="H27" s="47">
        <f>_xlfn.XLOOKUP(G27,'All Associates'!A:A,'All Associates'!B:B)</f>
        <v/>
      </c>
      <c r="I27" s="7">
        <f>_xlfn.XLOOKUP(G27,'All Associates'!A:A,'All Associates'!D:D)</f>
        <v/>
      </c>
      <c r="J27" s="11">
        <f>IF(G27&lt;&gt;"","Allocated","Available")</f>
        <v/>
      </c>
    </row>
    <row r="28">
      <c r="A28" s="6" t="inlineStr">
        <is>
          <t>T</t>
        </is>
      </c>
      <c r="B28" s="6" t="n">
        <v>5</v>
      </c>
      <c r="C28" s="7" t="inlineStr">
        <is>
          <t>A</t>
        </is>
      </c>
      <c r="D28" s="7" t="inlineStr">
        <is>
          <t>02</t>
        </is>
      </c>
      <c r="E28" s="7" t="n">
        <v>4</v>
      </c>
      <c r="F28" s="7">
        <f>A28&amp;B28&amp;"-"&amp;C28&amp;E28&amp;"-"&amp;D28</f>
        <v/>
      </c>
      <c r="G28" s="7" t="n">
        <v>2021</v>
      </c>
      <c r="H28" s="47">
        <f>_xlfn.XLOOKUP(G28,'All Associates'!A:A,'All Associates'!B:B)</f>
        <v/>
      </c>
      <c r="I28" s="7">
        <f>_xlfn.XLOOKUP(G28,'All Associates'!A:A,'All Associates'!D:D)</f>
        <v/>
      </c>
      <c r="J28" s="11">
        <f>IF(G28&lt;&gt;"","Allocated","Available")</f>
        <v/>
      </c>
    </row>
    <row r="29">
      <c r="A29" s="6" t="inlineStr">
        <is>
          <t>T</t>
        </is>
      </c>
      <c r="B29" s="6" t="n">
        <v>5</v>
      </c>
      <c r="C29" s="7" t="inlineStr">
        <is>
          <t>A</t>
        </is>
      </c>
      <c r="D29" s="7" t="inlineStr">
        <is>
          <t>03</t>
        </is>
      </c>
      <c r="E29" s="7" t="n">
        <v>4</v>
      </c>
      <c r="F29" s="7">
        <f>A29&amp;B29&amp;"-"&amp;C29&amp;E29&amp;"-"&amp;D29</f>
        <v/>
      </c>
      <c r="G29" s="7" t="n">
        <v>2045</v>
      </c>
      <c r="H29" s="47">
        <f>_xlfn.XLOOKUP(G29,'All Associates'!A:A,'All Associates'!B:B)</f>
        <v/>
      </c>
      <c r="I29" s="7">
        <f>_xlfn.XLOOKUP(G29,'All Associates'!A:A,'All Associates'!D:D)</f>
        <v/>
      </c>
      <c r="J29" s="11">
        <f>IF(G29&lt;&gt;"","Allocated","Available")</f>
        <v/>
      </c>
    </row>
    <row r="30">
      <c r="A30" s="6" t="inlineStr">
        <is>
          <t>T</t>
        </is>
      </c>
      <c r="B30" s="6" t="n">
        <v>5</v>
      </c>
      <c r="C30" s="7" t="inlineStr">
        <is>
          <t>A</t>
        </is>
      </c>
      <c r="D30" s="7" t="inlineStr">
        <is>
          <t>04</t>
        </is>
      </c>
      <c r="E30" s="7" t="n">
        <v>4</v>
      </c>
      <c r="F30" s="7">
        <f>A30&amp;B30&amp;"-"&amp;C30&amp;E30&amp;"-"&amp;D30</f>
        <v/>
      </c>
      <c r="G30" s="7" t="n">
        <v>2014</v>
      </c>
      <c r="H30" s="47">
        <f>_xlfn.XLOOKUP(G30,'All Associates'!A:A,'All Associates'!B:B)</f>
        <v/>
      </c>
      <c r="I30" s="7">
        <f>_xlfn.XLOOKUP(G30,'All Associates'!A:A,'All Associates'!D:D)</f>
        <v/>
      </c>
      <c r="J30" s="11">
        <f>IF(G30&lt;&gt;"","Allocated","Available")</f>
        <v/>
      </c>
    </row>
    <row r="31">
      <c r="A31" s="6" t="inlineStr">
        <is>
          <t>T</t>
        </is>
      </c>
      <c r="B31" s="6" t="n">
        <v>5</v>
      </c>
      <c r="C31" s="7" t="inlineStr">
        <is>
          <t>A</t>
        </is>
      </c>
      <c r="D31" s="7" t="inlineStr">
        <is>
          <t>05</t>
        </is>
      </c>
      <c r="E31" s="7" t="n">
        <v>4</v>
      </c>
      <c r="F31" s="7">
        <f>A31&amp;B31&amp;"-"&amp;C31&amp;E31&amp;"-"&amp;D31</f>
        <v/>
      </c>
      <c r="G31" s="7" t="n"/>
      <c r="H31" s="47">
        <f>_xlfn.XLOOKUP(G31,'All Associates'!A:A,'All Associates'!B:B)</f>
        <v/>
      </c>
      <c r="I31" s="7">
        <f>_xlfn.XLOOKUP(G31,'All Associates'!A:A,'All Associates'!D:D)</f>
        <v/>
      </c>
      <c r="J31" s="11">
        <f>IF(G31&lt;&gt;"","Allocated","Available")</f>
        <v/>
      </c>
    </row>
    <row r="32">
      <c r="A32" s="6" t="inlineStr">
        <is>
          <t>T</t>
        </is>
      </c>
      <c r="B32" s="6" t="n">
        <v>5</v>
      </c>
      <c r="C32" s="7" t="inlineStr">
        <is>
          <t>A</t>
        </is>
      </c>
      <c r="D32" s="7" t="inlineStr">
        <is>
          <t>06</t>
        </is>
      </c>
      <c r="E32" s="7" t="n">
        <v>4</v>
      </c>
      <c r="F32" s="7">
        <f>A32&amp;B32&amp;"-"&amp;C32&amp;E32&amp;"-"&amp;D32</f>
        <v/>
      </c>
      <c r="G32" s="7" t="n"/>
      <c r="H32" s="47">
        <f>_xlfn.XLOOKUP(G32,'All Associates'!A:A,'All Associates'!B:B)</f>
        <v/>
      </c>
      <c r="I32" s="7">
        <f>_xlfn.XLOOKUP(G32,'All Associates'!A:A,'All Associates'!D:D)</f>
        <v/>
      </c>
      <c r="J32" s="11">
        <f>IF(G32&lt;&gt;"","Allocated","Available")</f>
        <v/>
      </c>
    </row>
    <row r="33">
      <c r="A33" s="6" t="inlineStr">
        <is>
          <t>T</t>
        </is>
      </c>
      <c r="B33" s="6" t="n">
        <v>5</v>
      </c>
      <c r="C33" s="6" t="inlineStr">
        <is>
          <t>B</t>
        </is>
      </c>
      <c r="D33" s="7" t="inlineStr">
        <is>
          <t>01</t>
        </is>
      </c>
      <c r="E33" s="7" t="n">
        <v>1</v>
      </c>
      <c r="F33" s="7">
        <f>A33&amp;B33&amp;"-"&amp;C33&amp;E33&amp;"-"&amp;D33</f>
        <v/>
      </c>
      <c r="G33" s="7" t="n">
        <v>283</v>
      </c>
      <c r="H33" s="47">
        <f>_xlfn.XLOOKUP(G33,'All Associates'!A:A,'All Associates'!B:B)</f>
        <v/>
      </c>
      <c r="I33" s="7">
        <f>_xlfn.XLOOKUP(G33,'All Associates'!A:A,'All Associates'!D:D)</f>
        <v/>
      </c>
      <c r="J33" s="11">
        <f>IF(G33&lt;&gt;"","Allocated","Available")</f>
        <v/>
      </c>
    </row>
    <row r="34">
      <c r="A34" s="6" t="inlineStr">
        <is>
          <t>T</t>
        </is>
      </c>
      <c r="B34" s="6" t="n">
        <v>5</v>
      </c>
      <c r="C34" s="6" t="inlineStr">
        <is>
          <t>B</t>
        </is>
      </c>
      <c r="D34" s="7" t="inlineStr">
        <is>
          <t>02</t>
        </is>
      </c>
      <c r="E34" s="7" t="n">
        <v>1</v>
      </c>
      <c r="F34" s="7">
        <f>A34&amp;B34&amp;"-"&amp;C34&amp;E34&amp;"-"&amp;D34</f>
        <v/>
      </c>
      <c r="G34" s="7" t="n">
        <v>954</v>
      </c>
      <c r="H34" s="47">
        <f>_xlfn.XLOOKUP(G34,'All Associates'!A:A,'All Associates'!B:B)</f>
        <v/>
      </c>
      <c r="I34" s="7">
        <f>_xlfn.XLOOKUP(G34,'All Associates'!A:A,'All Associates'!D:D)</f>
        <v/>
      </c>
      <c r="J34" s="11">
        <f>IF(G34&lt;&gt;"","Allocated","Available")</f>
        <v/>
      </c>
    </row>
    <row r="35">
      <c r="A35" s="6" t="inlineStr">
        <is>
          <t>T</t>
        </is>
      </c>
      <c r="B35" s="6" t="n">
        <v>5</v>
      </c>
      <c r="C35" s="6" t="inlineStr">
        <is>
          <t>B</t>
        </is>
      </c>
      <c r="D35" s="7" t="inlineStr">
        <is>
          <t>03</t>
        </is>
      </c>
      <c r="E35" s="7" t="n">
        <v>1</v>
      </c>
      <c r="F35" s="7">
        <f>A35&amp;B35&amp;"-"&amp;C35&amp;E35&amp;"-"&amp;D35</f>
        <v/>
      </c>
      <c r="G35" s="7" t="n">
        <v>424</v>
      </c>
      <c r="H35" s="47">
        <f>_xlfn.XLOOKUP(G35,'All Associates'!A:A,'All Associates'!B:B)</f>
        <v/>
      </c>
      <c r="I35" s="7">
        <f>_xlfn.XLOOKUP(G35,'All Associates'!A:A,'All Associates'!D:D)</f>
        <v/>
      </c>
      <c r="J35" s="11">
        <f>IF(G35&lt;&gt;"","Allocated","Available")</f>
        <v/>
      </c>
    </row>
    <row r="36">
      <c r="A36" s="6" t="inlineStr">
        <is>
          <t>T</t>
        </is>
      </c>
      <c r="B36" s="6" t="n">
        <v>5</v>
      </c>
      <c r="C36" s="6" t="inlineStr">
        <is>
          <t>B</t>
        </is>
      </c>
      <c r="D36" s="7" t="inlineStr">
        <is>
          <t>04</t>
        </is>
      </c>
      <c r="E36" s="7" t="n">
        <v>1</v>
      </c>
      <c r="F36" s="7">
        <f>A36&amp;B36&amp;"-"&amp;C36&amp;E36&amp;"-"&amp;D36</f>
        <v/>
      </c>
      <c r="G36" s="7" t="n">
        <v>479</v>
      </c>
      <c r="H36" s="47">
        <f>_xlfn.XLOOKUP(G36,'All Associates'!A:A,'All Associates'!B:B)</f>
        <v/>
      </c>
      <c r="I36" s="7">
        <f>_xlfn.XLOOKUP(G36,'All Associates'!A:A,'All Associates'!D:D)</f>
        <v/>
      </c>
      <c r="J36" s="11">
        <f>IF(G36&lt;&gt;"","Allocated","Available")</f>
        <v/>
      </c>
    </row>
    <row r="37">
      <c r="A37" s="6" t="inlineStr">
        <is>
          <t>T</t>
        </is>
      </c>
      <c r="B37" s="6" t="n">
        <v>5</v>
      </c>
      <c r="C37" s="6" t="inlineStr">
        <is>
          <t>B</t>
        </is>
      </c>
      <c r="D37" s="7" t="inlineStr">
        <is>
          <t>05</t>
        </is>
      </c>
      <c r="E37" s="7" t="n">
        <v>1</v>
      </c>
      <c r="F37" s="7">
        <f>A37&amp;B37&amp;"-"&amp;C37&amp;E37&amp;"-"&amp;D37</f>
        <v/>
      </c>
      <c r="G37" s="7" t="n">
        <v>1042</v>
      </c>
      <c r="H37" s="47">
        <f>_xlfn.XLOOKUP(G37,'All Associates'!A:A,'All Associates'!B:B)</f>
        <v/>
      </c>
      <c r="I37" s="7">
        <f>_xlfn.XLOOKUP(G37,'All Associates'!A:A,'All Associates'!D:D)</f>
        <v/>
      </c>
      <c r="J37" s="11">
        <f>IF(G37&lt;&gt;"","Allocated","Available")</f>
        <v/>
      </c>
    </row>
    <row r="38">
      <c r="A38" s="6" t="inlineStr">
        <is>
          <t>T</t>
        </is>
      </c>
      <c r="B38" s="6" t="n">
        <v>5</v>
      </c>
      <c r="C38" s="6" t="inlineStr">
        <is>
          <t>B</t>
        </is>
      </c>
      <c r="D38" s="7" t="inlineStr">
        <is>
          <t>01</t>
        </is>
      </c>
      <c r="E38" s="7" t="n">
        <v>2</v>
      </c>
      <c r="F38" s="7">
        <f>A38&amp;B38&amp;"-"&amp;C38&amp;E38&amp;"-"&amp;D38</f>
        <v/>
      </c>
      <c r="G38" s="7" t="n">
        <v>1070</v>
      </c>
      <c r="H38" s="47">
        <f>_xlfn.XLOOKUP(G38,'All Associates'!A:A,'All Associates'!B:B)</f>
        <v/>
      </c>
      <c r="I38" s="7">
        <f>_xlfn.XLOOKUP(G38,'All Associates'!A:A,'All Associates'!D:D)</f>
        <v/>
      </c>
      <c r="J38" s="11">
        <f>IF(G38&lt;&gt;"","Allocated","Available")</f>
        <v/>
      </c>
    </row>
    <row r="39">
      <c r="A39" s="6" t="inlineStr">
        <is>
          <t>T</t>
        </is>
      </c>
      <c r="B39" s="6" t="n">
        <v>5</v>
      </c>
      <c r="C39" s="6" t="inlineStr">
        <is>
          <t>B</t>
        </is>
      </c>
      <c r="D39" s="7" t="inlineStr">
        <is>
          <t>02</t>
        </is>
      </c>
      <c r="E39" s="7" t="n">
        <v>2</v>
      </c>
      <c r="F39" s="7">
        <f>A39&amp;B39&amp;"-"&amp;C39&amp;E39&amp;"-"&amp;D39</f>
        <v/>
      </c>
      <c r="G39" s="6" t="n"/>
      <c r="H39" s="47">
        <f>_xlfn.XLOOKUP(G39,'All Associates'!A:A,'All Associates'!B:B)</f>
        <v/>
      </c>
      <c r="I39" s="7">
        <f>_xlfn.XLOOKUP(G39,'All Associates'!A:A,'All Associates'!D:D)</f>
        <v/>
      </c>
      <c r="J39" s="11">
        <f>IF(G39&lt;&gt;"","Allocated","Available")</f>
        <v/>
      </c>
    </row>
    <row r="40">
      <c r="A40" s="6" t="inlineStr">
        <is>
          <t>T</t>
        </is>
      </c>
      <c r="B40" s="6" t="n">
        <v>5</v>
      </c>
      <c r="C40" s="6" t="inlineStr">
        <is>
          <t>B</t>
        </is>
      </c>
      <c r="D40" s="7" t="inlineStr">
        <is>
          <t>03</t>
        </is>
      </c>
      <c r="E40" s="7" t="n">
        <v>2</v>
      </c>
      <c r="F40" s="7">
        <f>A40&amp;B40&amp;"-"&amp;C40&amp;E40&amp;"-"&amp;D40</f>
        <v/>
      </c>
      <c r="G40" s="7" t="n">
        <v>1241</v>
      </c>
      <c r="H40" s="47">
        <f>_xlfn.XLOOKUP(G40,'All Associates'!A:A,'All Associates'!B:B)</f>
        <v/>
      </c>
      <c r="I40" s="7">
        <f>_xlfn.XLOOKUP(G40,'All Associates'!A:A,'All Associates'!D:D)</f>
        <v/>
      </c>
      <c r="J40" s="11">
        <f>IF(G40&lt;&gt;"","Allocated","Available")</f>
        <v/>
      </c>
    </row>
    <row r="41">
      <c r="A41" s="6" t="inlineStr">
        <is>
          <t>T</t>
        </is>
      </c>
      <c r="B41" s="6" t="n">
        <v>5</v>
      </c>
      <c r="C41" s="6" t="inlineStr">
        <is>
          <t>B</t>
        </is>
      </c>
      <c r="D41" s="7" t="inlineStr">
        <is>
          <t>04</t>
        </is>
      </c>
      <c r="E41" s="7" t="n">
        <v>2</v>
      </c>
      <c r="F41" s="7">
        <f>A41&amp;B41&amp;"-"&amp;C41&amp;E41&amp;"-"&amp;D41</f>
        <v/>
      </c>
      <c r="G41" s="7" t="n"/>
      <c r="H41" s="47">
        <f>_xlfn.XLOOKUP(G41,'All Associates'!A:A,'All Associates'!B:B)</f>
        <v/>
      </c>
      <c r="I41" s="7">
        <f>_xlfn.XLOOKUP(G41,'All Associates'!A:A,'All Associates'!D:D)</f>
        <v/>
      </c>
      <c r="J41" s="11">
        <f>IF(G41&lt;&gt;"","Allocated","Available")</f>
        <v/>
      </c>
    </row>
    <row r="42">
      <c r="A42" s="6" t="inlineStr">
        <is>
          <t>T</t>
        </is>
      </c>
      <c r="B42" s="6" t="n">
        <v>5</v>
      </c>
      <c r="C42" s="6" t="inlineStr">
        <is>
          <t>B</t>
        </is>
      </c>
      <c r="D42" s="7" t="inlineStr">
        <is>
          <t>05</t>
        </is>
      </c>
      <c r="E42" s="7" t="n">
        <v>2</v>
      </c>
      <c r="F42" s="7">
        <f>A42&amp;B42&amp;"-"&amp;C42&amp;E42&amp;"-"&amp;D42</f>
        <v/>
      </c>
      <c r="G42" s="6" t="n">
        <v>1189</v>
      </c>
      <c r="H42" s="47">
        <f>_xlfn.XLOOKUP(G42,'All Associates'!A:A,'All Associates'!B:B)</f>
        <v/>
      </c>
      <c r="I42" s="7">
        <f>_xlfn.XLOOKUP(G42,'All Associates'!A:A,'All Associates'!D:D)</f>
        <v/>
      </c>
      <c r="J42" s="11">
        <f>IF(G42&lt;&gt;"","Allocated","Available")</f>
        <v/>
      </c>
    </row>
    <row r="43">
      <c r="A43" s="6" t="inlineStr">
        <is>
          <t>T</t>
        </is>
      </c>
      <c r="B43" s="6" t="n">
        <v>5</v>
      </c>
      <c r="C43" s="6" t="inlineStr">
        <is>
          <t>B</t>
        </is>
      </c>
      <c r="D43" s="7" t="inlineStr">
        <is>
          <t>06</t>
        </is>
      </c>
      <c r="E43" s="7" t="n">
        <v>2</v>
      </c>
      <c r="F43" s="22">
        <f>A43&amp;B43&amp;"-"&amp;C43&amp;E43&amp;"-"&amp;D43</f>
        <v/>
      </c>
      <c r="G43" s="7" t="n"/>
      <c r="H43" s="47" t="n"/>
      <c r="I43" s="7" t="n"/>
      <c r="J43" s="11" t="inlineStr">
        <is>
          <t>HW</t>
        </is>
      </c>
    </row>
    <row r="44">
      <c r="A44" s="6" t="inlineStr">
        <is>
          <t>T</t>
        </is>
      </c>
      <c r="B44" s="6" t="n">
        <v>5</v>
      </c>
      <c r="C44" s="6" t="inlineStr">
        <is>
          <t>C</t>
        </is>
      </c>
      <c r="D44" s="7" t="inlineStr">
        <is>
          <t>01</t>
        </is>
      </c>
      <c r="E44" s="7" t="n">
        <v>1</v>
      </c>
      <c r="F44" s="7">
        <f>A44&amp;B44&amp;"-"&amp;C44&amp;E44&amp;"-"&amp;D44</f>
        <v/>
      </c>
      <c r="G44" s="6" t="n">
        <v>595</v>
      </c>
      <c r="H44" s="47">
        <f>_xlfn.XLOOKUP(G44,'All Associates'!A:A,'All Associates'!B:B)</f>
        <v/>
      </c>
      <c r="I44" s="7">
        <f>_xlfn.XLOOKUP(G44,'All Associates'!A:A,'All Associates'!D:D)</f>
        <v/>
      </c>
      <c r="J44" s="11">
        <f>IF(G44&lt;&gt;"","Allocated","Available")</f>
        <v/>
      </c>
    </row>
    <row r="45">
      <c r="A45" s="6" t="inlineStr">
        <is>
          <t>T</t>
        </is>
      </c>
      <c r="B45" s="6" t="n">
        <v>5</v>
      </c>
      <c r="C45" s="6" t="inlineStr">
        <is>
          <t>C</t>
        </is>
      </c>
      <c r="D45" s="7" t="inlineStr">
        <is>
          <t>02</t>
        </is>
      </c>
      <c r="E45" s="7" t="n">
        <v>1</v>
      </c>
      <c r="F45" s="7">
        <f>A45&amp;B45&amp;"-"&amp;C45&amp;E45&amp;"-"&amp;D45</f>
        <v/>
      </c>
      <c r="G45" s="7" t="n">
        <v>568</v>
      </c>
      <c r="H45" s="47">
        <f>_xlfn.XLOOKUP(G45,'All Associates'!A:A,'All Associates'!B:B)</f>
        <v/>
      </c>
      <c r="I45" s="7">
        <f>_xlfn.XLOOKUP(G45,'All Associates'!A:A,'All Associates'!D:D)</f>
        <v/>
      </c>
      <c r="J45" s="11">
        <f>IF(G45&lt;&gt;"","Allocated","Available")</f>
        <v/>
      </c>
    </row>
    <row r="46">
      <c r="A46" s="6" t="inlineStr">
        <is>
          <t>T</t>
        </is>
      </c>
      <c r="B46" s="6" t="n">
        <v>5</v>
      </c>
      <c r="C46" s="6" t="inlineStr">
        <is>
          <t>C</t>
        </is>
      </c>
      <c r="D46" s="7" t="inlineStr">
        <is>
          <t>03</t>
        </is>
      </c>
      <c r="E46" s="7" t="n">
        <v>1</v>
      </c>
      <c r="F46" s="7">
        <f>A46&amp;B46&amp;"-"&amp;C46&amp;E46&amp;"-"&amp;D46</f>
        <v/>
      </c>
      <c r="G46" s="1" t="n">
        <v>2032</v>
      </c>
      <c r="H46" s="47">
        <f>_xlfn.XLOOKUP(G46,'All Associates'!A:A,'All Associates'!B:B)</f>
        <v/>
      </c>
      <c r="I46" s="7">
        <f>_xlfn.XLOOKUP(G46,'All Associates'!A:A,'All Associates'!D:D)</f>
        <v/>
      </c>
      <c r="J46" s="11">
        <f>IF(G46&lt;&gt;"","Allocated","Available")</f>
        <v/>
      </c>
    </row>
    <row r="47">
      <c r="A47" s="6" t="inlineStr">
        <is>
          <t>T</t>
        </is>
      </c>
      <c r="B47" s="6" t="n">
        <v>5</v>
      </c>
      <c r="C47" s="6" t="inlineStr">
        <is>
          <t>C</t>
        </is>
      </c>
      <c r="D47" s="7" t="inlineStr">
        <is>
          <t>04</t>
        </is>
      </c>
      <c r="E47" s="7" t="n">
        <v>1</v>
      </c>
      <c r="F47" s="7">
        <f>A47&amp;B47&amp;"-"&amp;C47&amp;E47&amp;"-"&amp;D47</f>
        <v/>
      </c>
      <c r="G47" s="6" t="n">
        <v>655</v>
      </c>
      <c r="H47" s="47">
        <f>_xlfn.XLOOKUP(G47,'All Associates'!A:A,'All Associates'!B:B)</f>
        <v/>
      </c>
      <c r="I47" s="7">
        <f>_xlfn.XLOOKUP(G47,'All Associates'!A:A,'All Associates'!D:D)</f>
        <v/>
      </c>
      <c r="J47" s="11">
        <f>IF(G47&lt;&gt;"","Allocated","Available")</f>
        <v/>
      </c>
    </row>
    <row r="48">
      <c r="A48" s="6" t="inlineStr">
        <is>
          <t>T</t>
        </is>
      </c>
      <c r="B48" s="6" t="n">
        <v>5</v>
      </c>
      <c r="C48" s="6" t="inlineStr">
        <is>
          <t>C</t>
        </is>
      </c>
      <c r="D48" s="7" t="inlineStr">
        <is>
          <t>05</t>
        </is>
      </c>
      <c r="E48" s="7" t="n">
        <v>1</v>
      </c>
      <c r="F48" s="7">
        <f>A48&amp;B48&amp;"-"&amp;C48&amp;E48&amp;"-"&amp;D48</f>
        <v/>
      </c>
      <c r="G48" s="6" t="n">
        <v>1104</v>
      </c>
      <c r="H48" s="47">
        <f>_xlfn.XLOOKUP(G48,'All Associates'!A:A,'All Associates'!B:B)</f>
        <v/>
      </c>
      <c r="I48" s="7">
        <f>_xlfn.XLOOKUP(G48,'All Associates'!A:A,'All Associates'!D:D)</f>
        <v/>
      </c>
      <c r="J48" s="11">
        <f>IF(G48&lt;&gt;"","Allocated","Available")</f>
        <v/>
      </c>
    </row>
    <row r="49">
      <c r="A49" s="6" t="inlineStr">
        <is>
          <t>T</t>
        </is>
      </c>
      <c r="B49" s="6" t="n">
        <v>5</v>
      </c>
      <c r="C49" s="6" t="inlineStr">
        <is>
          <t>C</t>
        </is>
      </c>
      <c r="D49" s="7" t="inlineStr">
        <is>
          <t>06</t>
        </is>
      </c>
      <c r="E49" s="7" t="n">
        <v>1</v>
      </c>
      <c r="F49" s="7">
        <f>A49&amp;B49&amp;"-"&amp;C49&amp;E49&amp;"-"&amp;D49</f>
        <v/>
      </c>
      <c r="G49" s="6" t="n">
        <v>1043</v>
      </c>
      <c r="H49" s="47">
        <f>_xlfn.XLOOKUP(G49,'All Associates'!A:A,'All Associates'!B:B)</f>
        <v/>
      </c>
      <c r="I49" s="7">
        <f>_xlfn.XLOOKUP(G49,'All Associates'!A:A,'All Associates'!D:D)</f>
        <v/>
      </c>
      <c r="J49" s="11">
        <f>IF(G49&lt;&gt;"","Allocated","Available")</f>
        <v/>
      </c>
    </row>
    <row r="50">
      <c r="A50" s="6" t="inlineStr">
        <is>
          <t>T</t>
        </is>
      </c>
      <c r="B50" s="6" t="n">
        <v>5</v>
      </c>
      <c r="C50" s="6" t="inlineStr">
        <is>
          <t>C</t>
        </is>
      </c>
      <c r="D50" s="7" t="inlineStr">
        <is>
          <t>07</t>
        </is>
      </c>
      <c r="E50" s="7" t="n">
        <v>1</v>
      </c>
      <c r="F50" s="7">
        <f>A50&amp;B50&amp;"-"&amp;C50&amp;E50&amp;"-"&amp;D50</f>
        <v/>
      </c>
      <c r="G50" s="6" t="n"/>
      <c r="H50" s="47">
        <f>_xlfn.XLOOKUP(G50,'All Associates'!A:A,'All Associates'!B:B)</f>
        <v/>
      </c>
      <c r="I50" s="7">
        <f>_xlfn.XLOOKUP(G50,'All Associates'!A:A,'All Associates'!D:D)</f>
        <v/>
      </c>
      <c r="J50" s="11">
        <f>IF(G50&lt;&gt;"","Allocated","Available")</f>
        <v/>
      </c>
    </row>
    <row r="51">
      <c r="A51" s="6" t="inlineStr">
        <is>
          <t>T</t>
        </is>
      </c>
      <c r="B51" s="6" t="n">
        <v>5</v>
      </c>
      <c r="C51" s="6" t="inlineStr">
        <is>
          <t>C</t>
        </is>
      </c>
      <c r="D51" s="7" t="inlineStr">
        <is>
          <t>01</t>
        </is>
      </c>
      <c r="E51" s="7" t="n">
        <v>2</v>
      </c>
      <c r="F51" s="7">
        <f>A51&amp;B51&amp;"-"&amp;C51&amp;E51&amp;"-"&amp;D51</f>
        <v/>
      </c>
      <c r="G51" s="6" t="n">
        <v>820</v>
      </c>
      <c r="H51" s="47">
        <f>_xlfn.XLOOKUP(G51,'All Associates'!A:A,'All Associates'!B:B)</f>
        <v/>
      </c>
      <c r="I51" s="7">
        <f>_xlfn.XLOOKUP(G51,'All Associates'!A:A,'All Associates'!D:D)</f>
        <v/>
      </c>
      <c r="J51" s="11">
        <f>IF(G51&lt;&gt;"","Allocated","Available")</f>
        <v/>
      </c>
    </row>
    <row r="52">
      <c r="A52" s="6" t="inlineStr">
        <is>
          <t>T</t>
        </is>
      </c>
      <c r="B52" s="6" t="n">
        <v>5</v>
      </c>
      <c r="C52" s="6" t="inlineStr">
        <is>
          <t>C</t>
        </is>
      </c>
      <c r="D52" s="7" t="inlineStr">
        <is>
          <t>02</t>
        </is>
      </c>
      <c r="E52" s="7" t="n">
        <v>2</v>
      </c>
      <c r="F52" s="7">
        <f>A52&amp;B52&amp;"-"&amp;C52&amp;E52&amp;"-"&amp;D52</f>
        <v/>
      </c>
      <c r="G52" s="6" t="n">
        <v>681</v>
      </c>
      <c r="H52" s="47">
        <f>_xlfn.XLOOKUP(G52,'All Associates'!A:A,'All Associates'!B:B)</f>
        <v/>
      </c>
      <c r="I52" s="7">
        <f>_xlfn.XLOOKUP(G52,'All Associates'!A:A,'All Associates'!D:D)</f>
        <v/>
      </c>
      <c r="J52" s="11">
        <f>IF(G52&lt;&gt;"","Allocated","Available")</f>
        <v/>
      </c>
    </row>
    <row r="53">
      <c r="A53" s="6" t="inlineStr">
        <is>
          <t>T</t>
        </is>
      </c>
      <c r="B53" s="6" t="n">
        <v>5</v>
      </c>
      <c r="C53" s="6" t="inlineStr">
        <is>
          <t>C</t>
        </is>
      </c>
      <c r="D53" s="7" t="inlineStr">
        <is>
          <t>03</t>
        </is>
      </c>
      <c r="E53" s="7" t="n">
        <v>2</v>
      </c>
      <c r="F53" s="7">
        <f>A53&amp;B53&amp;"-"&amp;C53&amp;E53&amp;"-"&amp;D53</f>
        <v/>
      </c>
      <c r="G53" s="6" t="n">
        <v>976</v>
      </c>
      <c r="H53" s="47">
        <f>_xlfn.XLOOKUP(G53,'All Associates'!A:A,'All Associates'!B:B)</f>
        <v/>
      </c>
      <c r="I53" s="7">
        <f>_xlfn.XLOOKUP(G53,'All Associates'!A:A,'All Associates'!D:D)</f>
        <v/>
      </c>
      <c r="J53" s="11">
        <f>IF(G53&lt;&gt;"","Allocated","Available")</f>
        <v/>
      </c>
    </row>
    <row r="54">
      <c r="A54" s="6" t="inlineStr">
        <is>
          <t>T</t>
        </is>
      </c>
      <c r="B54" s="6" t="n">
        <v>5</v>
      </c>
      <c r="C54" s="6" t="inlineStr">
        <is>
          <t>C</t>
        </is>
      </c>
      <c r="D54" s="7" t="inlineStr">
        <is>
          <t>04</t>
        </is>
      </c>
      <c r="E54" s="7" t="n">
        <v>2</v>
      </c>
      <c r="F54" s="7">
        <f>A54&amp;B54&amp;"-"&amp;C54&amp;E54&amp;"-"&amp;D54</f>
        <v/>
      </c>
      <c r="G54" s="6" t="n">
        <v>705</v>
      </c>
      <c r="H54" s="47">
        <f>_xlfn.XLOOKUP(G54,'All Associates'!A:A,'All Associates'!B:B)</f>
        <v/>
      </c>
      <c r="I54" s="7">
        <f>_xlfn.XLOOKUP(G54,'All Associates'!A:A,'All Associates'!D:D)</f>
        <v/>
      </c>
      <c r="J54" s="11">
        <f>IF(G54&lt;&gt;"","Allocated","Available")</f>
        <v/>
      </c>
    </row>
    <row r="55">
      <c r="A55" s="6" t="inlineStr">
        <is>
          <t>T</t>
        </is>
      </c>
      <c r="B55" s="6" t="n">
        <v>5</v>
      </c>
      <c r="C55" s="6" t="inlineStr">
        <is>
          <t>C</t>
        </is>
      </c>
      <c r="D55" s="7" t="inlineStr">
        <is>
          <t>05</t>
        </is>
      </c>
      <c r="E55" s="7" t="n">
        <v>2</v>
      </c>
      <c r="F55" s="7">
        <f>A55&amp;B55&amp;"-"&amp;C55&amp;E55&amp;"-"&amp;D55</f>
        <v/>
      </c>
      <c r="G55" s="7" t="n">
        <v>696</v>
      </c>
      <c r="H55" s="47">
        <f>_xlfn.XLOOKUP(G55,'All Associates'!A:A,'All Associates'!B:B)</f>
        <v/>
      </c>
      <c r="I55" s="7">
        <f>_xlfn.XLOOKUP(G55,'All Associates'!A:A,'All Associates'!D:D)</f>
        <v/>
      </c>
      <c r="J55" s="11">
        <f>IF(G55&lt;&gt;"","Allocated","Available")</f>
        <v/>
      </c>
    </row>
    <row r="56">
      <c r="A56" s="6" t="inlineStr">
        <is>
          <t>T</t>
        </is>
      </c>
      <c r="B56" s="6" t="n">
        <v>5</v>
      </c>
      <c r="C56" s="6" t="inlineStr">
        <is>
          <t>C</t>
        </is>
      </c>
      <c r="D56" s="7" t="inlineStr">
        <is>
          <t>06</t>
        </is>
      </c>
      <c r="E56" s="7" t="n">
        <v>2</v>
      </c>
      <c r="F56" s="7">
        <f>A56&amp;B56&amp;"-"&amp;C56&amp;E56&amp;"-"&amp;D56</f>
        <v/>
      </c>
      <c r="G56" s="6" t="n">
        <v>993</v>
      </c>
      <c r="H56" s="47">
        <f>_xlfn.XLOOKUP(G56,'All Associates'!A:A,'All Associates'!B:B)</f>
        <v/>
      </c>
      <c r="I56" s="7">
        <f>_xlfn.XLOOKUP(G56,'All Associates'!A:A,'All Associates'!D:D)</f>
        <v/>
      </c>
      <c r="J56" s="11">
        <f>IF(G56&lt;&gt;"","Allocated","Available")</f>
        <v/>
      </c>
    </row>
    <row r="57">
      <c r="A57" s="6" t="inlineStr">
        <is>
          <t>T</t>
        </is>
      </c>
      <c r="B57" s="6" t="n">
        <v>5</v>
      </c>
      <c r="C57" s="6" t="inlineStr">
        <is>
          <t>C</t>
        </is>
      </c>
      <c r="D57" s="7" t="inlineStr">
        <is>
          <t>01</t>
        </is>
      </c>
      <c r="E57" s="7" t="n">
        <v>3</v>
      </c>
      <c r="F57" s="7">
        <f>A57&amp;B57&amp;"-"&amp;C57&amp;E57&amp;"-"&amp;D57</f>
        <v/>
      </c>
      <c r="G57" s="6" t="n">
        <v>880</v>
      </c>
      <c r="H57" s="47">
        <f>_xlfn.XLOOKUP(G57,'All Associates'!A:A,'All Associates'!B:B)</f>
        <v/>
      </c>
      <c r="I57" s="7">
        <f>_xlfn.XLOOKUP(G57,'All Associates'!A:A,'All Associates'!D:D)</f>
        <v/>
      </c>
      <c r="J57" s="11">
        <f>IF(G57&lt;&gt;"","Allocated","Available")</f>
        <v/>
      </c>
    </row>
    <row r="58">
      <c r="A58" s="6" t="inlineStr">
        <is>
          <t>T</t>
        </is>
      </c>
      <c r="B58" s="6" t="n">
        <v>5</v>
      </c>
      <c r="C58" s="6" t="inlineStr">
        <is>
          <t>C</t>
        </is>
      </c>
      <c r="D58" s="7" t="inlineStr">
        <is>
          <t>02</t>
        </is>
      </c>
      <c r="E58" s="7" t="n">
        <v>3</v>
      </c>
      <c r="F58" s="7">
        <f>A58&amp;B58&amp;"-"&amp;C58&amp;E58&amp;"-"&amp;D58</f>
        <v/>
      </c>
      <c r="G58" s="6" t="n">
        <v>1238</v>
      </c>
      <c r="H58" s="47">
        <f>_xlfn.XLOOKUP(G58,'All Associates'!A:A,'All Associates'!B:B)</f>
        <v/>
      </c>
      <c r="I58" s="7">
        <f>_xlfn.XLOOKUP(G58,'All Associates'!A:A,'All Associates'!D:D)</f>
        <v/>
      </c>
      <c r="J58" s="11">
        <f>IF(G58&lt;&gt;"","Allocated","Available")</f>
        <v/>
      </c>
    </row>
    <row r="59">
      <c r="A59" s="6" t="inlineStr">
        <is>
          <t>T</t>
        </is>
      </c>
      <c r="B59" s="6" t="n">
        <v>5</v>
      </c>
      <c r="C59" s="6" t="inlineStr">
        <is>
          <t>C</t>
        </is>
      </c>
      <c r="D59" s="7" t="inlineStr">
        <is>
          <t>03</t>
        </is>
      </c>
      <c r="E59" s="7" t="n">
        <v>3</v>
      </c>
      <c r="F59" s="7">
        <f>A59&amp;B59&amp;"-"&amp;C59&amp;E59&amp;"-"&amp;D59</f>
        <v/>
      </c>
      <c r="G59" s="6" t="n">
        <v>621</v>
      </c>
      <c r="H59" s="47">
        <f>_xlfn.XLOOKUP(G59,'All Associates'!A:A,'All Associates'!B:B)</f>
        <v/>
      </c>
      <c r="I59" s="7">
        <f>_xlfn.XLOOKUP(G59,'All Associates'!A:A,'All Associates'!D:D)</f>
        <v/>
      </c>
      <c r="J59" s="11">
        <f>IF(G59&lt;&gt;"","Allocated","Available")</f>
        <v/>
      </c>
    </row>
    <row r="60">
      <c r="A60" s="6" t="inlineStr">
        <is>
          <t>T</t>
        </is>
      </c>
      <c r="B60" s="6" t="n">
        <v>5</v>
      </c>
      <c r="C60" s="6" t="inlineStr">
        <is>
          <t>C</t>
        </is>
      </c>
      <c r="D60" s="7" t="inlineStr">
        <is>
          <t>04</t>
        </is>
      </c>
      <c r="E60" s="7" t="n">
        <v>3</v>
      </c>
      <c r="F60" s="7">
        <f>A60&amp;B60&amp;"-"&amp;C60&amp;E60&amp;"-"&amp;D60</f>
        <v/>
      </c>
      <c r="G60" s="6" t="n">
        <v>1226</v>
      </c>
      <c r="H60" s="47">
        <f>_xlfn.XLOOKUP(G60,'All Associates'!A:A,'All Associates'!B:B)</f>
        <v/>
      </c>
      <c r="I60" s="7">
        <f>_xlfn.XLOOKUP(G60,'All Associates'!A:A,'All Associates'!D:D)</f>
        <v/>
      </c>
      <c r="J60" s="11">
        <f>IF(G60&lt;&gt;"","Allocated","Available")</f>
        <v/>
      </c>
    </row>
    <row r="61">
      <c r="A61" s="6" t="inlineStr">
        <is>
          <t>T</t>
        </is>
      </c>
      <c r="B61" s="6" t="n">
        <v>5</v>
      </c>
      <c r="C61" s="6" t="inlineStr">
        <is>
          <t>C</t>
        </is>
      </c>
      <c r="D61" s="7" t="inlineStr">
        <is>
          <t>05</t>
        </is>
      </c>
      <c r="E61" s="7" t="n">
        <v>3</v>
      </c>
      <c r="F61" s="7">
        <f>A61&amp;B61&amp;"-"&amp;C61&amp;E61&amp;"-"&amp;D61</f>
        <v/>
      </c>
      <c r="G61" s="7" t="n">
        <v>554</v>
      </c>
      <c r="H61" s="47">
        <f>_xlfn.XLOOKUP(G61,'All Associates'!A:A,'All Associates'!B:B)</f>
        <v/>
      </c>
      <c r="I61" s="7">
        <f>_xlfn.XLOOKUP(G61,'All Associates'!A:A,'All Associates'!D:D)</f>
        <v/>
      </c>
      <c r="J61" s="11">
        <f>IF(G61&lt;&gt;"","Allocated","Available")</f>
        <v/>
      </c>
    </row>
    <row r="62">
      <c r="A62" s="6" t="inlineStr">
        <is>
          <t>T</t>
        </is>
      </c>
      <c r="B62" s="6" t="n">
        <v>5</v>
      </c>
      <c r="C62" s="6" t="inlineStr">
        <is>
          <t>C</t>
        </is>
      </c>
      <c r="D62" s="7" t="inlineStr">
        <is>
          <t>06</t>
        </is>
      </c>
      <c r="E62" s="7" t="n">
        <v>3</v>
      </c>
      <c r="F62" s="7">
        <f>A62&amp;B62&amp;"-"&amp;C62&amp;E62&amp;"-"&amp;D62</f>
        <v/>
      </c>
      <c r="G62" s="7" t="n">
        <v>689</v>
      </c>
      <c r="H62" s="47">
        <f>_xlfn.XLOOKUP(G62,'All Associates'!A:A,'All Associates'!B:B)</f>
        <v/>
      </c>
      <c r="I62" s="7">
        <f>_xlfn.XLOOKUP(G62,'All Associates'!A:A,'All Associates'!D:D)</f>
        <v/>
      </c>
      <c r="J62" s="11">
        <f>IF(G62&lt;&gt;"","Allocated","Available")</f>
        <v/>
      </c>
    </row>
    <row r="63">
      <c r="A63" s="6" t="inlineStr">
        <is>
          <t>T</t>
        </is>
      </c>
      <c r="B63" s="6" t="n">
        <v>5</v>
      </c>
      <c r="C63" s="6" t="inlineStr">
        <is>
          <t>C</t>
        </is>
      </c>
      <c r="D63" s="7" t="inlineStr">
        <is>
          <t>01</t>
        </is>
      </c>
      <c r="E63" s="7" t="n">
        <v>4</v>
      </c>
      <c r="F63" s="7">
        <f>A63&amp;B63&amp;"-"&amp;C63&amp;E63&amp;"-"&amp;D63</f>
        <v/>
      </c>
      <c r="G63" s="7" t="n">
        <v>670</v>
      </c>
      <c r="H63" s="47">
        <f>_xlfn.XLOOKUP(G63,'All Associates'!A:A,'All Associates'!B:B)</f>
        <v/>
      </c>
      <c r="I63" s="7">
        <f>_xlfn.XLOOKUP(G63,'All Associates'!A:A,'All Associates'!D:D)</f>
        <v/>
      </c>
      <c r="J63" s="11">
        <f>IF(G63&lt;&gt;"","Allocated","Available")</f>
        <v/>
      </c>
    </row>
    <row r="64">
      <c r="A64" s="6" t="inlineStr">
        <is>
          <t>T</t>
        </is>
      </c>
      <c r="B64" s="6" t="n">
        <v>5</v>
      </c>
      <c r="C64" s="6" t="inlineStr">
        <is>
          <t>C</t>
        </is>
      </c>
      <c r="D64" s="7" t="inlineStr">
        <is>
          <t>02</t>
        </is>
      </c>
      <c r="E64" s="7" t="n">
        <v>4</v>
      </c>
      <c r="F64" s="7">
        <f>A64&amp;B64&amp;"-"&amp;C64&amp;E64&amp;"-"&amp;D64</f>
        <v/>
      </c>
      <c r="G64" s="7" t="n">
        <v>2019</v>
      </c>
      <c r="H64" s="47">
        <f>_xlfn.XLOOKUP(G64,'All Associates'!A:A,'All Associates'!B:B)</f>
        <v/>
      </c>
      <c r="I64" s="7">
        <f>_xlfn.XLOOKUP(G64,'All Associates'!A:A,'All Associates'!D:D)</f>
        <v/>
      </c>
      <c r="J64" s="11">
        <f>IF(G64&lt;&gt;"","Allocated","Available")</f>
        <v/>
      </c>
    </row>
    <row r="65">
      <c r="A65" s="6" t="inlineStr">
        <is>
          <t>T</t>
        </is>
      </c>
      <c r="B65" s="6" t="n">
        <v>5</v>
      </c>
      <c r="C65" s="6" t="inlineStr">
        <is>
          <t>C</t>
        </is>
      </c>
      <c r="D65" s="7" t="inlineStr">
        <is>
          <t>03</t>
        </is>
      </c>
      <c r="E65" s="7" t="n">
        <v>4</v>
      </c>
      <c r="F65" s="7">
        <f>A65&amp;B65&amp;"-"&amp;C65&amp;E65&amp;"-"&amp;D65</f>
        <v/>
      </c>
      <c r="G65" s="7" t="n">
        <v>645</v>
      </c>
      <c r="H65" s="47">
        <f>_xlfn.XLOOKUP(G65,'All Associates'!A:A,'All Associates'!B:B)</f>
        <v/>
      </c>
      <c r="I65" s="7">
        <f>_xlfn.XLOOKUP(G65,'All Associates'!A:A,'All Associates'!D:D)</f>
        <v/>
      </c>
      <c r="J65" s="11">
        <f>IF(G65&lt;&gt;"","Allocated","Available")</f>
        <v/>
      </c>
    </row>
    <row r="66">
      <c r="A66" s="6" t="inlineStr">
        <is>
          <t>T</t>
        </is>
      </c>
      <c r="B66" s="6" t="n">
        <v>5</v>
      </c>
      <c r="C66" s="6" t="inlineStr">
        <is>
          <t>C</t>
        </is>
      </c>
      <c r="D66" s="7" t="inlineStr">
        <is>
          <t>04</t>
        </is>
      </c>
      <c r="E66" s="7" t="n">
        <v>4</v>
      </c>
      <c r="F66" s="7">
        <f>A66&amp;B66&amp;"-"&amp;C66&amp;E66&amp;"-"&amp;D66</f>
        <v/>
      </c>
      <c r="G66" s="7" t="n">
        <v>2040</v>
      </c>
      <c r="H66" s="47">
        <f>_xlfn.XLOOKUP(G66,'All Associates'!A:A,'All Associates'!B:B)</f>
        <v/>
      </c>
      <c r="I66" s="7">
        <f>_xlfn.XLOOKUP(G66,'All Associates'!A:A,'All Associates'!D:D)</f>
        <v/>
      </c>
      <c r="J66" s="11">
        <f>IF(G66&lt;&gt;"","Allocated","Available")</f>
        <v/>
      </c>
    </row>
    <row r="67">
      <c r="A67" s="6" t="inlineStr">
        <is>
          <t>T</t>
        </is>
      </c>
      <c r="B67" s="6" t="n">
        <v>5</v>
      </c>
      <c r="C67" s="6" t="inlineStr">
        <is>
          <t>C</t>
        </is>
      </c>
      <c r="D67" s="7" t="inlineStr">
        <is>
          <t>05</t>
        </is>
      </c>
      <c r="E67" s="7" t="n">
        <v>4</v>
      </c>
      <c r="F67" s="7">
        <f>A67&amp;B67&amp;"-"&amp;C67&amp;E67&amp;"-"&amp;D67</f>
        <v/>
      </c>
      <c r="G67" s="6" t="n">
        <v>1039</v>
      </c>
      <c r="H67" s="47">
        <f>_xlfn.XLOOKUP(G67,'All Associates'!A:A,'All Associates'!B:B)</f>
        <v/>
      </c>
      <c r="I67" s="7">
        <f>_xlfn.XLOOKUP(G67,'All Associates'!A:A,'All Associates'!D:D)</f>
        <v/>
      </c>
      <c r="J67" s="11">
        <f>IF(G67&lt;&gt;"","Allocated","Available")</f>
        <v/>
      </c>
    </row>
    <row r="68">
      <c r="A68" s="6" t="inlineStr">
        <is>
          <t>T</t>
        </is>
      </c>
      <c r="B68" s="6" t="n">
        <v>5</v>
      </c>
      <c r="C68" s="6" t="inlineStr">
        <is>
          <t>C</t>
        </is>
      </c>
      <c r="D68" s="7" t="inlineStr">
        <is>
          <t>06</t>
        </is>
      </c>
      <c r="E68" s="7" t="n">
        <v>4</v>
      </c>
      <c r="F68" s="7">
        <f>A68&amp;B68&amp;"-"&amp;C68&amp;E68&amp;"-"&amp;D68</f>
        <v/>
      </c>
      <c r="G68" s="7" t="n">
        <v>2034</v>
      </c>
      <c r="H68" s="47">
        <f>_xlfn.XLOOKUP(G68,'All Associates'!A:A,'All Associates'!B:B)</f>
        <v/>
      </c>
      <c r="I68" s="7">
        <f>_xlfn.XLOOKUP(G68,'All Associates'!A:A,'All Associates'!D:D)</f>
        <v/>
      </c>
      <c r="J68" s="11">
        <f>IF(G68&lt;&gt;"","Allocated","Available")</f>
        <v/>
      </c>
    </row>
    <row r="69">
      <c r="A69" s="6" t="inlineStr">
        <is>
          <t>T</t>
        </is>
      </c>
      <c r="B69" s="6" t="n">
        <v>5</v>
      </c>
      <c r="C69" s="6" t="inlineStr">
        <is>
          <t>C</t>
        </is>
      </c>
      <c r="D69" s="7" t="inlineStr">
        <is>
          <t>01</t>
        </is>
      </c>
      <c r="E69" s="7" t="n">
        <v>5</v>
      </c>
      <c r="F69" s="7">
        <f>A69&amp;B69&amp;"-"&amp;C69&amp;E69&amp;"-"&amp;D69</f>
        <v/>
      </c>
      <c r="G69" s="6" t="n">
        <v>581</v>
      </c>
      <c r="H69" s="47">
        <f>_xlfn.XLOOKUP(G69,'All Associates'!A:A,'All Associates'!B:B)</f>
        <v/>
      </c>
      <c r="I69" s="7">
        <f>_xlfn.XLOOKUP(G69,'All Associates'!A:A,'All Associates'!D:D)</f>
        <v/>
      </c>
      <c r="J69" s="11">
        <f>IF(G69&lt;&gt;"","Allocated","Available")</f>
        <v/>
      </c>
    </row>
    <row r="70">
      <c r="A70" s="6" t="inlineStr">
        <is>
          <t>T</t>
        </is>
      </c>
      <c r="B70" s="6" t="n">
        <v>5</v>
      </c>
      <c r="C70" s="6" t="inlineStr">
        <is>
          <t>C</t>
        </is>
      </c>
      <c r="D70" s="7" t="inlineStr">
        <is>
          <t>02</t>
        </is>
      </c>
      <c r="E70" s="7" t="n">
        <v>5</v>
      </c>
      <c r="F70" s="7">
        <f>A70&amp;B70&amp;"-"&amp;C70&amp;E70&amp;"-"&amp;D70</f>
        <v/>
      </c>
      <c r="G70" s="6" t="n">
        <v>604</v>
      </c>
      <c r="H70" s="47">
        <f>_xlfn.XLOOKUP(G70,'All Associates'!A:A,'All Associates'!B:B)</f>
        <v/>
      </c>
      <c r="I70" s="7">
        <f>_xlfn.XLOOKUP(G70,'All Associates'!A:A,'All Associates'!D:D)</f>
        <v/>
      </c>
      <c r="J70" s="11">
        <f>IF(G70&lt;&gt;"","Allocated","Available")</f>
        <v/>
      </c>
    </row>
    <row r="71">
      <c r="A71" s="6" t="inlineStr">
        <is>
          <t>T</t>
        </is>
      </c>
      <c r="B71" s="6" t="n">
        <v>5</v>
      </c>
      <c r="C71" s="6" t="inlineStr">
        <is>
          <t>C</t>
        </is>
      </c>
      <c r="D71" s="7" t="inlineStr">
        <is>
          <t>03</t>
        </is>
      </c>
      <c r="E71" s="7" t="n">
        <v>5</v>
      </c>
      <c r="F71" s="7">
        <f>A71&amp;B71&amp;"-"&amp;C71&amp;E71&amp;"-"&amp;D71</f>
        <v/>
      </c>
      <c r="G71" s="6" t="n">
        <v>805</v>
      </c>
      <c r="H71" s="47">
        <f>_xlfn.XLOOKUP(G71,'All Associates'!A:A,'All Associates'!B:B)</f>
        <v/>
      </c>
      <c r="I71" s="7">
        <f>_xlfn.XLOOKUP(G71,'All Associates'!A:A,'All Associates'!D:D)</f>
        <v/>
      </c>
      <c r="J71" s="11">
        <f>IF(G71&lt;&gt;"","Allocated","Available")</f>
        <v/>
      </c>
    </row>
    <row r="72">
      <c r="A72" s="6" t="inlineStr">
        <is>
          <t>T</t>
        </is>
      </c>
      <c r="B72" s="6" t="n">
        <v>5</v>
      </c>
      <c r="C72" s="6" t="inlineStr">
        <is>
          <t>C</t>
        </is>
      </c>
      <c r="D72" s="7" t="inlineStr">
        <is>
          <t>04</t>
        </is>
      </c>
      <c r="E72" s="7" t="n">
        <v>5</v>
      </c>
      <c r="F72" s="7">
        <f>A72&amp;B72&amp;"-"&amp;C72&amp;E72&amp;"-"&amp;D72</f>
        <v/>
      </c>
      <c r="G72" s="6" t="n">
        <v>1243</v>
      </c>
      <c r="H72" s="47">
        <f>_xlfn.XLOOKUP(G72,'All Associates'!A:A,'All Associates'!B:B)</f>
        <v/>
      </c>
      <c r="I72" s="7">
        <f>_xlfn.XLOOKUP(G72,'All Associates'!A:A,'All Associates'!D:D)</f>
        <v/>
      </c>
      <c r="J72" s="11">
        <f>IF(G72&lt;&gt;"","Allocated","Available")</f>
        <v/>
      </c>
    </row>
    <row r="73">
      <c r="A73" s="6" t="inlineStr">
        <is>
          <t>T</t>
        </is>
      </c>
      <c r="B73" s="6" t="n">
        <v>5</v>
      </c>
      <c r="C73" s="6" t="inlineStr">
        <is>
          <t>C</t>
        </is>
      </c>
      <c r="D73" s="7" t="inlineStr">
        <is>
          <t>05</t>
        </is>
      </c>
      <c r="E73" s="7" t="n">
        <v>5</v>
      </c>
      <c r="F73" s="7">
        <f>A73&amp;B73&amp;"-"&amp;C73&amp;E73&amp;"-"&amp;D73</f>
        <v/>
      </c>
      <c r="G73" s="6" t="n">
        <v>1201</v>
      </c>
      <c r="H73" s="47">
        <f>_xlfn.XLOOKUP(G73,'All Associates'!A:A,'All Associates'!B:B)</f>
        <v/>
      </c>
      <c r="I73" s="7">
        <f>_xlfn.XLOOKUP(G73,'All Associates'!A:A,'All Associates'!D:D)</f>
        <v/>
      </c>
      <c r="J73" s="11">
        <f>IF(G73&lt;&gt;"","Allocated","Available")</f>
        <v/>
      </c>
    </row>
    <row r="74">
      <c r="A74" s="6" t="inlineStr">
        <is>
          <t>T</t>
        </is>
      </c>
      <c r="B74" s="6" t="n">
        <v>5</v>
      </c>
      <c r="C74" s="6" t="inlineStr">
        <is>
          <t>C</t>
        </is>
      </c>
      <c r="D74" s="7" t="inlineStr">
        <is>
          <t>06</t>
        </is>
      </c>
      <c r="E74" s="7" t="n">
        <v>5</v>
      </c>
      <c r="F74" s="7">
        <f>A74&amp;B74&amp;"-"&amp;C74&amp;E74&amp;"-"&amp;D74</f>
        <v/>
      </c>
      <c r="G74" s="7" t="n">
        <v>1240</v>
      </c>
      <c r="H74" s="47">
        <f>_xlfn.XLOOKUP(G74,'All Associates'!A:A,'All Associates'!B:B)</f>
        <v/>
      </c>
      <c r="I74" s="7">
        <f>_xlfn.XLOOKUP(G74,'All Associates'!A:A,'All Associates'!D:D)</f>
        <v/>
      </c>
      <c r="J74" s="11">
        <f>IF(G74&lt;&gt;"","Allocated","Available")</f>
        <v/>
      </c>
    </row>
    <row r="75">
      <c r="A75" s="6" t="inlineStr">
        <is>
          <t>T</t>
        </is>
      </c>
      <c r="B75" s="6" t="n">
        <v>5</v>
      </c>
      <c r="C75" s="6" t="inlineStr">
        <is>
          <t>C</t>
        </is>
      </c>
      <c r="D75" s="7" t="inlineStr">
        <is>
          <t>01</t>
        </is>
      </c>
      <c r="E75" s="7" t="n">
        <v>6</v>
      </c>
      <c r="F75" s="7">
        <f>A75&amp;B75&amp;"-"&amp;C75&amp;E75&amp;"-"&amp;D75</f>
        <v/>
      </c>
      <c r="G75" s="7" t="n">
        <v>665</v>
      </c>
      <c r="H75" s="47">
        <f>_xlfn.XLOOKUP(G75,'All Associates'!A:A,'All Associates'!B:B)</f>
        <v/>
      </c>
      <c r="I75" s="7">
        <f>_xlfn.XLOOKUP(G75,'All Associates'!A:A,'All Associates'!D:D)</f>
        <v/>
      </c>
      <c r="J75" s="11">
        <f>IF(G75&lt;&gt;"","Allocated","Available")</f>
        <v/>
      </c>
    </row>
    <row r="76">
      <c r="A76" s="6" t="inlineStr">
        <is>
          <t>T</t>
        </is>
      </c>
      <c r="B76" s="6" t="n">
        <v>5</v>
      </c>
      <c r="C76" s="6" t="inlineStr">
        <is>
          <t>C</t>
        </is>
      </c>
      <c r="D76" s="7" t="inlineStr">
        <is>
          <t>02</t>
        </is>
      </c>
      <c r="E76" s="7" t="n">
        <v>6</v>
      </c>
      <c r="F76" s="7">
        <f>A76&amp;B76&amp;"-"&amp;C76&amp;E76&amp;"-"&amp;D76</f>
        <v/>
      </c>
      <c r="G76" s="6" t="n">
        <v>702</v>
      </c>
      <c r="H76" s="47">
        <f>_xlfn.XLOOKUP(G76,'All Associates'!A:A,'All Associates'!B:B)</f>
        <v/>
      </c>
      <c r="I76" s="7">
        <f>_xlfn.XLOOKUP(G76,'All Associates'!A:A,'All Associates'!D:D)</f>
        <v/>
      </c>
      <c r="J76" s="11">
        <f>IF(G76&lt;&gt;"","Allocated","Available")</f>
        <v/>
      </c>
    </row>
    <row r="77">
      <c r="A77" s="6" t="inlineStr">
        <is>
          <t>T</t>
        </is>
      </c>
      <c r="B77" s="6" t="n">
        <v>5</v>
      </c>
      <c r="C77" s="6" t="inlineStr">
        <is>
          <t>C</t>
        </is>
      </c>
      <c r="D77" s="7" t="inlineStr">
        <is>
          <t>03</t>
        </is>
      </c>
      <c r="E77" s="7" t="n">
        <v>6</v>
      </c>
      <c r="F77" s="7">
        <f>A77&amp;B77&amp;"-"&amp;C77&amp;E77&amp;"-"&amp;D77</f>
        <v/>
      </c>
      <c r="G77" s="7" t="n">
        <v>2033</v>
      </c>
      <c r="H77" s="47">
        <f>_xlfn.XLOOKUP(G77,'All Associates'!A:A,'All Associates'!B:B)</f>
        <v/>
      </c>
      <c r="I77" s="7">
        <f>_xlfn.XLOOKUP(G77,'All Associates'!A:A,'All Associates'!D:D)</f>
        <v/>
      </c>
      <c r="J77" s="11">
        <f>IF(G77&lt;&gt;"","Allocated","Available")</f>
        <v/>
      </c>
    </row>
    <row r="78">
      <c r="A78" s="6" t="inlineStr">
        <is>
          <t>T</t>
        </is>
      </c>
      <c r="B78" s="6" t="n">
        <v>5</v>
      </c>
      <c r="C78" s="6" t="inlineStr">
        <is>
          <t>C</t>
        </is>
      </c>
      <c r="D78" s="7" t="inlineStr">
        <is>
          <t>04</t>
        </is>
      </c>
      <c r="E78" s="7" t="n">
        <v>6</v>
      </c>
      <c r="F78" s="7">
        <f>A78&amp;B78&amp;"-"&amp;C78&amp;E78&amp;"-"&amp;D78</f>
        <v/>
      </c>
      <c r="G78" s="6" t="n">
        <v>1069</v>
      </c>
      <c r="H78" s="47">
        <f>_xlfn.XLOOKUP(G78,'All Associates'!A:A,'All Associates'!B:B)</f>
        <v/>
      </c>
      <c r="I78" s="7">
        <f>_xlfn.XLOOKUP(G78,'All Associates'!A:A,'All Associates'!D:D)</f>
        <v/>
      </c>
      <c r="J78" s="11">
        <f>IF(G78&lt;&gt;"","Allocated","Available")</f>
        <v/>
      </c>
    </row>
    <row r="79">
      <c r="A79" s="6" t="inlineStr">
        <is>
          <t>T</t>
        </is>
      </c>
      <c r="B79" s="6" t="n">
        <v>5</v>
      </c>
      <c r="C79" s="6" t="inlineStr">
        <is>
          <t>C</t>
        </is>
      </c>
      <c r="D79" s="7" t="inlineStr">
        <is>
          <t>05</t>
        </is>
      </c>
      <c r="E79" s="7" t="n">
        <v>6</v>
      </c>
      <c r="F79" s="7">
        <f>A79&amp;B79&amp;"-"&amp;C79&amp;E79&amp;"-"&amp;D79</f>
        <v/>
      </c>
      <c r="G79" s="7" t="n"/>
      <c r="H79" s="47">
        <f>_xlfn.XLOOKUP(G79,'All Associates'!A:A,'All Associates'!B:B)</f>
        <v/>
      </c>
      <c r="I79" s="7">
        <f>_xlfn.XLOOKUP(G79,'All Associates'!A:A,'All Associates'!D:D)</f>
        <v/>
      </c>
      <c r="J79" s="11">
        <f>IF(G79&lt;&gt;"","Allocated","Available")</f>
        <v/>
      </c>
    </row>
    <row r="80">
      <c r="A80" s="6" t="inlineStr">
        <is>
          <t>T</t>
        </is>
      </c>
      <c r="B80" s="6" t="n">
        <v>5</v>
      </c>
      <c r="C80" s="6" t="inlineStr">
        <is>
          <t>C</t>
        </is>
      </c>
      <c r="D80" s="7" t="inlineStr">
        <is>
          <t>06</t>
        </is>
      </c>
      <c r="E80" s="7" t="n">
        <v>6</v>
      </c>
      <c r="F80" s="7">
        <f>A80&amp;B80&amp;"-"&amp;C80&amp;E80&amp;"-"&amp;D80</f>
        <v/>
      </c>
      <c r="G80" s="6" t="n"/>
      <c r="H80" s="47">
        <f>_xlfn.XLOOKUP(G80,'All Associates'!A:A,'All Associates'!B:B)</f>
        <v/>
      </c>
      <c r="I80" s="7">
        <f>_xlfn.XLOOKUP(G80,'All Associates'!A:A,'All Associates'!D:D)</f>
        <v/>
      </c>
      <c r="J80" s="11">
        <f>IF(G80&lt;&gt;"","Allocated","Available")</f>
        <v/>
      </c>
    </row>
    <row r="81">
      <c r="A81" s="6" t="inlineStr">
        <is>
          <t>T</t>
        </is>
      </c>
      <c r="B81" s="6" t="n">
        <v>5</v>
      </c>
      <c r="C81" s="6" t="inlineStr">
        <is>
          <t>C</t>
        </is>
      </c>
      <c r="D81" s="7" t="inlineStr">
        <is>
          <t>01</t>
        </is>
      </c>
      <c r="E81" s="7" t="inlineStr">
        <is>
          <t>M1</t>
        </is>
      </c>
      <c r="F81" s="7">
        <f>A81&amp;B81&amp;"-"&amp;C81&amp;E81&amp;"-"&amp;D81</f>
        <v/>
      </c>
      <c r="G81" s="7" t="n">
        <v>585</v>
      </c>
      <c r="H81" s="47">
        <f>_xlfn.XLOOKUP(G81,'All Associates'!A:A,'All Associates'!B:B)</f>
        <v/>
      </c>
      <c r="I81" s="7">
        <f>_xlfn.XLOOKUP(G81,'All Associates'!A:A,'All Associates'!D:D)</f>
        <v/>
      </c>
      <c r="J81" s="11">
        <f>IF(G81&lt;&gt;"","Allocated","Available")</f>
        <v/>
      </c>
    </row>
    <row r="82">
      <c r="A82" s="6" t="inlineStr">
        <is>
          <t>T</t>
        </is>
      </c>
      <c r="B82" s="6" t="n">
        <v>5</v>
      </c>
      <c r="C82" s="6" t="inlineStr">
        <is>
          <t>C</t>
        </is>
      </c>
      <c r="D82" s="7" t="inlineStr">
        <is>
          <t>01</t>
        </is>
      </c>
      <c r="E82" s="7" t="inlineStr">
        <is>
          <t>M2</t>
        </is>
      </c>
      <c r="F82" s="7">
        <f>A82&amp;B82&amp;"-"&amp;C82&amp;E82&amp;"-"&amp;D82</f>
        <v/>
      </c>
      <c r="G82" s="7" t="n"/>
      <c r="H82" s="47">
        <f>_xlfn.XLOOKUP(G82,'All Associates'!A:A,'All Associates'!B:B)</f>
        <v/>
      </c>
      <c r="I82" s="7">
        <f>_xlfn.XLOOKUP(G82,'All Associates'!A:A,'All Associates'!D:D)</f>
        <v/>
      </c>
      <c r="J82" s="11">
        <f>IF(G82&lt;&gt;"","Allocated","Available")</f>
        <v/>
      </c>
    </row>
    <row r="83">
      <c r="A83" s="6" t="inlineStr">
        <is>
          <t>T</t>
        </is>
      </c>
      <c r="B83" s="6" t="n">
        <v>5</v>
      </c>
      <c r="C83" s="6" t="inlineStr">
        <is>
          <t>C</t>
        </is>
      </c>
      <c r="D83" s="7" t="inlineStr">
        <is>
          <t>02</t>
        </is>
      </c>
      <c r="E83" s="7" t="inlineStr">
        <is>
          <t>M2</t>
        </is>
      </c>
      <c r="F83" s="7">
        <f>A83&amp;B83&amp;"-"&amp;C83&amp;E83&amp;"-"&amp;D83</f>
        <v/>
      </c>
      <c r="G83" s="7" t="n"/>
      <c r="H83" s="47">
        <f>_xlfn.XLOOKUP(G83,'All Associates'!A:A,'All Associates'!B:B)</f>
        <v/>
      </c>
      <c r="I83" s="7">
        <f>_xlfn.XLOOKUP(G83,'All Associates'!A:A,'All Associates'!D:D)</f>
        <v/>
      </c>
      <c r="J83" s="11">
        <f>IF(G83&lt;&gt;"","Allocated","Available")</f>
        <v/>
      </c>
    </row>
    <row r="84">
      <c r="A84" s="6" t="inlineStr">
        <is>
          <t>T</t>
        </is>
      </c>
      <c r="B84" s="6" t="n">
        <v>5</v>
      </c>
      <c r="C84" s="6" t="inlineStr">
        <is>
          <t>D</t>
        </is>
      </c>
      <c r="D84" s="7" t="inlineStr">
        <is>
          <t>01</t>
        </is>
      </c>
      <c r="E84" s="7" t="n">
        <v>1</v>
      </c>
      <c r="F84" s="7">
        <f>A84&amp;B84&amp;"-"&amp;C84&amp;E84&amp;"-"&amp;D84</f>
        <v/>
      </c>
      <c r="G84" s="7" t="n">
        <v>934</v>
      </c>
      <c r="H84" s="47">
        <f>_xlfn.XLOOKUP(G84,'All Associates'!A:A,'All Associates'!B:B)</f>
        <v/>
      </c>
      <c r="I84" s="7">
        <f>_xlfn.XLOOKUP(G84,'All Associates'!A:A,'All Associates'!D:D)</f>
        <v/>
      </c>
      <c r="J84" s="11">
        <f>IF(G84&lt;&gt;"","Allocated","Available")</f>
        <v/>
      </c>
    </row>
    <row r="85">
      <c r="A85" s="6" t="inlineStr">
        <is>
          <t>T</t>
        </is>
      </c>
      <c r="B85" s="6" t="n">
        <v>5</v>
      </c>
      <c r="C85" s="6" t="inlineStr">
        <is>
          <t>D</t>
        </is>
      </c>
      <c r="D85" s="7" t="inlineStr">
        <is>
          <t>02</t>
        </is>
      </c>
      <c r="E85" s="7" t="n">
        <v>1</v>
      </c>
      <c r="F85" s="7">
        <f>A85&amp;B85&amp;"-"&amp;C85&amp;E85&amp;"-"&amp;D85</f>
        <v/>
      </c>
      <c r="G85" s="7" t="n">
        <v>618</v>
      </c>
      <c r="H85" s="47">
        <f>_xlfn.XLOOKUP(G85,'All Associates'!A:A,'All Associates'!B:B)</f>
        <v/>
      </c>
      <c r="I85" s="7">
        <f>_xlfn.XLOOKUP(G85,'All Associates'!A:A,'All Associates'!D:D)</f>
        <v/>
      </c>
      <c r="J85" s="11">
        <f>IF(G85&lt;&gt;"","Allocated","Available")</f>
        <v/>
      </c>
    </row>
    <row r="86">
      <c r="A86" s="6" t="inlineStr">
        <is>
          <t>T</t>
        </is>
      </c>
      <c r="B86" s="6" t="n">
        <v>5</v>
      </c>
      <c r="C86" s="6" t="inlineStr">
        <is>
          <t>D</t>
        </is>
      </c>
      <c r="D86" s="7" t="inlineStr">
        <is>
          <t>03</t>
        </is>
      </c>
      <c r="E86" s="7" t="n">
        <v>1</v>
      </c>
      <c r="F86" s="22">
        <f>A86&amp;B86&amp;"-"&amp;C86&amp;E86&amp;"-"&amp;D86</f>
        <v/>
      </c>
      <c r="G86" s="7" t="inlineStr">
        <is>
          <t>HW</t>
        </is>
      </c>
      <c r="H86" s="47" t="n"/>
      <c r="I86" s="7" t="n"/>
      <c r="J86" s="11" t="inlineStr">
        <is>
          <t>HW</t>
        </is>
      </c>
    </row>
    <row r="87">
      <c r="A87" s="6" t="inlineStr">
        <is>
          <t>T</t>
        </is>
      </c>
      <c r="B87" s="6" t="n">
        <v>5</v>
      </c>
      <c r="C87" s="6" t="inlineStr">
        <is>
          <t>D</t>
        </is>
      </c>
      <c r="D87" s="7" t="inlineStr">
        <is>
          <t>04</t>
        </is>
      </c>
      <c r="E87" s="7" t="n">
        <v>1</v>
      </c>
      <c r="F87" s="7">
        <f>A87&amp;B87&amp;"-"&amp;C87&amp;E87&amp;"-"&amp;D87</f>
        <v/>
      </c>
      <c r="G87" s="7" t="n">
        <v>1026</v>
      </c>
      <c r="H87" s="47">
        <f>_xlfn.XLOOKUP(G87,'All Associates'!A:A,'All Associates'!B:B)</f>
        <v/>
      </c>
      <c r="I87" s="7">
        <f>_xlfn.XLOOKUP(G87,'All Associates'!A:A,'All Associates'!D:D)</f>
        <v/>
      </c>
      <c r="J87" s="11">
        <f>IF(G87&lt;&gt;"","Allocated","Available")</f>
        <v/>
      </c>
    </row>
    <row r="88">
      <c r="A88" s="6" t="inlineStr">
        <is>
          <t>T</t>
        </is>
      </c>
      <c r="B88" s="6" t="n">
        <v>5</v>
      </c>
      <c r="C88" s="6" t="inlineStr">
        <is>
          <t>D</t>
        </is>
      </c>
      <c r="D88" s="7" t="inlineStr">
        <is>
          <t>05</t>
        </is>
      </c>
      <c r="E88" s="7" t="n">
        <v>1</v>
      </c>
      <c r="F88" s="7">
        <f>A88&amp;B88&amp;"-"&amp;C88&amp;E88&amp;"-"&amp;D88</f>
        <v/>
      </c>
      <c r="G88" s="6" t="n">
        <v>2050</v>
      </c>
      <c r="H88" s="47">
        <f>_xlfn.XLOOKUP(G88,'All Associates'!A:A,'All Associates'!B:B)</f>
        <v/>
      </c>
      <c r="I88" s="7">
        <f>_xlfn.XLOOKUP(G88,'All Associates'!A:A,'All Associates'!D:D)</f>
        <v/>
      </c>
      <c r="J88" s="11">
        <f>IF(G88&lt;&gt;"","Allocated","Available")</f>
        <v/>
      </c>
    </row>
    <row r="89" customFormat="1" s="42">
      <c r="A89" s="40" t="inlineStr">
        <is>
          <t>T</t>
        </is>
      </c>
      <c r="B89" s="40" t="n">
        <v>5</v>
      </c>
      <c r="C89" s="40" t="inlineStr">
        <is>
          <t>D</t>
        </is>
      </c>
      <c r="D89" s="41" t="inlineStr">
        <is>
          <t>06</t>
        </is>
      </c>
      <c r="E89" s="41" t="n">
        <v>1</v>
      </c>
      <c r="F89" s="41">
        <f>A89&amp;B89&amp;"-"&amp;C89&amp;E89&amp;"-"&amp;D89</f>
        <v/>
      </c>
      <c r="G89" s="41" t="n">
        <v>1155</v>
      </c>
      <c r="H89" s="47">
        <f>_xlfn.XLOOKUP(G89,'All Associates'!A:A,'All Associates'!B:B)</f>
        <v/>
      </c>
      <c r="I89" s="7">
        <f>_xlfn.XLOOKUP(G89,'All Associates'!A:A,'All Associates'!D:D)</f>
        <v/>
      </c>
      <c r="J89" s="11">
        <f>IF(G89&lt;&gt;"","Allocated","Available")</f>
        <v/>
      </c>
    </row>
    <row r="90">
      <c r="A90" s="6" t="inlineStr">
        <is>
          <t>T</t>
        </is>
      </c>
      <c r="B90" s="6" t="n">
        <v>5</v>
      </c>
      <c r="C90" s="6" t="inlineStr">
        <is>
          <t>D</t>
        </is>
      </c>
      <c r="D90" s="7" t="inlineStr">
        <is>
          <t>01</t>
        </is>
      </c>
      <c r="E90" s="7" t="n">
        <v>2</v>
      </c>
      <c r="F90" s="7">
        <f>A90&amp;B90&amp;"-"&amp;C90&amp;E90&amp;"-"&amp;D90</f>
        <v/>
      </c>
      <c r="G90" s="7" t="n">
        <v>894</v>
      </c>
      <c r="H90" s="47">
        <f>_xlfn.XLOOKUP(G90,'All Associates'!A:A,'All Associates'!B:B)</f>
        <v/>
      </c>
      <c r="I90" s="7">
        <f>_xlfn.XLOOKUP(G90,'All Associates'!A:A,'All Associates'!D:D)</f>
        <v/>
      </c>
      <c r="J90" s="11">
        <f>IF(G90&lt;&gt;"","Allocated","Available")</f>
        <v/>
      </c>
    </row>
    <row r="91">
      <c r="A91" s="6" t="inlineStr">
        <is>
          <t>T</t>
        </is>
      </c>
      <c r="B91" s="6" t="n">
        <v>5</v>
      </c>
      <c r="C91" s="6" t="inlineStr">
        <is>
          <t>D</t>
        </is>
      </c>
      <c r="D91" s="7" t="inlineStr">
        <is>
          <t>02</t>
        </is>
      </c>
      <c r="E91" s="7" t="n">
        <v>2</v>
      </c>
      <c r="F91" s="7">
        <f>A91&amp;B91&amp;"-"&amp;C91&amp;E91&amp;"-"&amp;D91</f>
        <v/>
      </c>
      <c r="G91" s="7" t="n">
        <v>292</v>
      </c>
      <c r="H91" s="47">
        <f>_xlfn.XLOOKUP(G91,'All Associates'!A:A,'All Associates'!B:B)</f>
        <v/>
      </c>
      <c r="I91" s="7">
        <f>_xlfn.XLOOKUP(G91,'All Associates'!A:A,'All Associates'!D:D)</f>
        <v/>
      </c>
      <c r="J91" s="11">
        <f>IF(G91&lt;&gt;"","Allocated","Available")</f>
        <v/>
      </c>
    </row>
    <row r="92">
      <c r="A92" s="6" t="inlineStr">
        <is>
          <t>T</t>
        </is>
      </c>
      <c r="B92" s="6" t="n">
        <v>5</v>
      </c>
      <c r="C92" s="6" t="inlineStr">
        <is>
          <t>D</t>
        </is>
      </c>
      <c r="D92" s="7" t="inlineStr">
        <is>
          <t>03</t>
        </is>
      </c>
      <c r="E92" s="7" t="n">
        <v>2</v>
      </c>
      <c r="F92" s="7">
        <f>A92&amp;B92&amp;"-"&amp;C92&amp;E92&amp;"-"&amp;D92</f>
        <v/>
      </c>
      <c r="G92" s="7" t="n">
        <v>473</v>
      </c>
      <c r="H92" s="47">
        <f>_xlfn.XLOOKUP(G92,'All Associates'!A:A,'All Associates'!B:B)</f>
        <v/>
      </c>
      <c r="I92" s="7">
        <f>_xlfn.XLOOKUP(G92,'All Associates'!A:A,'All Associates'!D:D)</f>
        <v/>
      </c>
      <c r="J92" s="11">
        <f>IF(G92&lt;&gt;"","Allocated","Available")</f>
        <v/>
      </c>
    </row>
    <row r="93">
      <c r="A93" s="6" t="inlineStr">
        <is>
          <t>T</t>
        </is>
      </c>
      <c r="B93" s="6" t="n">
        <v>5</v>
      </c>
      <c r="C93" s="6" t="inlineStr">
        <is>
          <t>D</t>
        </is>
      </c>
      <c r="D93" s="7" t="inlineStr">
        <is>
          <t>04</t>
        </is>
      </c>
      <c r="E93" s="7" t="n">
        <v>2</v>
      </c>
      <c r="F93" s="7">
        <f>A93&amp;B93&amp;"-"&amp;C93&amp;E93&amp;"-"&amp;D93</f>
        <v/>
      </c>
      <c r="G93" s="7" t="n">
        <v>991</v>
      </c>
      <c r="H93" s="47">
        <f>_xlfn.XLOOKUP(G93,'All Associates'!A:A,'All Associates'!B:B)</f>
        <v/>
      </c>
      <c r="I93" s="7">
        <f>_xlfn.XLOOKUP(G93,'All Associates'!A:A,'All Associates'!D:D)</f>
        <v/>
      </c>
      <c r="J93" s="11">
        <f>IF(G93&lt;&gt;"","Allocated","Available")</f>
        <v/>
      </c>
    </row>
    <row r="94">
      <c r="A94" s="6" t="inlineStr">
        <is>
          <t>T</t>
        </is>
      </c>
      <c r="B94" s="6" t="n">
        <v>5</v>
      </c>
      <c r="C94" s="6" t="inlineStr">
        <is>
          <t>D</t>
        </is>
      </c>
      <c r="D94" s="7" t="inlineStr">
        <is>
          <t>05</t>
        </is>
      </c>
      <c r="E94" s="7" t="n">
        <v>2</v>
      </c>
      <c r="F94" s="7">
        <f>A94&amp;B94&amp;"-"&amp;C94&amp;E94&amp;"-"&amp;D94</f>
        <v/>
      </c>
      <c r="G94" s="7" t="n">
        <v>149</v>
      </c>
      <c r="H94" s="47">
        <f>_xlfn.XLOOKUP(G94,'All Associates'!A:A,'All Associates'!B:B)</f>
        <v/>
      </c>
      <c r="I94" s="7">
        <f>_xlfn.XLOOKUP(G94,'All Associates'!A:A,'All Associates'!D:D)</f>
        <v/>
      </c>
      <c r="J94" s="11">
        <f>IF(G94&lt;&gt;"","Allocated","Available")</f>
        <v/>
      </c>
    </row>
    <row r="95">
      <c r="A95" s="6" t="inlineStr">
        <is>
          <t>T</t>
        </is>
      </c>
      <c r="B95" s="6" t="n">
        <v>5</v>
      </c>
      <c r="C95" s="6" t="inlineStr">
        <is>
          <t>D</t>
        </is>
      </c>
      <c r="D95" s="7" t="inlineStr">
        <is>
          <t>06</t>
        </is>
      </c>
      <c r="E95" s="7" t="n">
        <v>2</v>
      </c>
      <c r="F95" s="7">
        <f>A95&amp;B95&amp;"-"&amp;C95&amp;E95&amp;"-"&amp;D95</f>
        <v/>
      </c>
      <c r="G95" s="7" t="n">
        <v>680</v>
      </c>
      <c r="H95" s="47">
        <f>_xlfn.XLOOKUP(G95,'All Associates'!A:A,'All Associates'!B:B)</f>
        <v/>
      </c>
      <c r="I95" s="7">
        <f>_xlfn.XLOOKUP(G95,'All Associates'!A:A,'All Associates'!D:D)</f>
        <v/>
      </c>
      <c r="J95" s="11">
        <f>IF(G95&lt;&gt;"","Allocated","Available")</f>
        <v/>
      </c>
    </row>
    <row r="96">
      <c r="A96" s="6" t="inlineStr">
        <is>
          <t>T</t>
        </is>
      </c>
      <c r="B96" s="6" t="n">
        <v>5</v>
      </c>
      <c r="C96" s="6" t="inlineStr">
        <is>
          <t>D</t>
        </is>
      </c>
      <c r="D96" s="7" t="inlineStr">
        <is>
          <t>01</t>
        </is>
      </c>
      <c r="E96" s="7" t="n">
        <v>3</v>
      </c>
      <c r="F96" s="7">
        <f>A96&amp;B96&amp;"-"&amp;C96&amp;E96&amp;"-"&amp;D96</f>
        <v/>
      </c>
      <c r="G96" s="7" t="n">
        <v>432</v>
      </c>
      <c r="H96" s="47">
        <f>_xlfn.XLOOKUP(G96,'All Associates'!A:A,'All Associates'!B:B)</f>
        <v/>
      </c>
      <c r="I96" s="7">
        <f>_xlfn.XLOOKUP(G96,'All Associates'!A:A,'All Associates'!D:D)</f>
        <v/>
      </c>
      <c r="J96" s="11">
        <f>IF(G96&lt;&gt;"","Allocated","Available")</f>
        <v/>
      </c>
    </row>
    <row r="97">
      <c r="A97" s="6" t="inlineStr">
        <is>
          <t>T</t>
        </is>
      </c>
      <c r="B97" s="6" t="n">
        <v>5</v>
      </c>
      <c r="C97" s="6" t="inlineStr">
        <is>
          <t>D</t>
        </is>
      </c>
      <c r="D97" s="7" t="inlineStr">
        <is>
          <t>02</t>
        </is>
      </c>
      <c r="E97" s="7" t="n">
        <v>3</v>
      </c>
      <c r="F97" s="7">
        <f>A97&amp;B97&amp;"-"&amp;C97&amp;E97&amp;"-"&amp;D97</f>
        <v/>
      </c>
      <c r="G97" s="7" t="n">
        <v>988</v>
      </c>
      <c r="H97" s="47">
        <f>_xlfn.XLOOKUP(G97,'All Associates'!A:A,'All Associates'!B:B)</f>
        <v/>
      </c>
      <c r="I97" s="7">
        <f>_xlfn.XLOOKUP(G97,'All Associates'!A:A,'All Associates'!D:D)</f>
        <v/>
      </c>
      <c r="J97" s="11">
        <f>IF(G97&lt;&gt;"","Allocated","Available")</f>
        <v/>
      </c>
    </row>
    <row r="98">
      <c r="A98" s="6" t="inlineStr">
        <is>
          <t>T</t>
        </is>
      </c>
      <c r="B98" s="6" t="n">
        <v>5</v>
      </c>
      <c r="C98" s="6" t="inlineStr">
        <is>
          <t>D</t>
        </is>
      </c>
      <c r="D98" s="7" t="inlineStr">
        <is>
          <t>03</t>
        </is>
      </c>
      <c r="E98" s="7" t="n">
        <v>3</v>
      </c>
      <c r="F98" s="7">
        <f>A98&amp;B98&amp;"-"&amp;C98&amp;E98&amp;"-"&amp;D98</f>
        <v/>
      </c>
      <c r="G98" s="7" t="n"/>
      <c r="H98" s="47">
        <f>_xlfn.XLOOKUP(G98,'All Associates'!A:A,'All Associates'!B:B)</f>
        <v/>
      </c>
      <c r="I98" s="7">
        <f>_xlfn.XLOOKUP(G98,'All Associates'!A:A,'All Associates'!D:D)</f>
        <v/>
      </c>
      <c r="J98" s="11">
        <f>IF(G98&lt;&gt;"","Allocated","Available")</f>
        <v/>
      </c>
    </row>
    <row r="99">
      <c r="A99" s="6" t="inlineStr">
        <is>
          <t>T</t>
        </is>
      </c>
      <c r="B99" s="6" t="n">
        <v>5</v>
      </c>
      <c r="C99" s="6" t="inlineStr">
        <is>
          <t>D</t>
        </is>
      </c>
      <c r="D99" s="7" t="inlineStr">
        <is>
          <t>04</t>
        </is>
      </c>
      <c r="E99" s="7" t="n">
        <v>3</v>
      </c>
      <c r="F99" s="7">
        <f>A99&amp;B99&amp;"-"&amp;C99&amp;E99&amp;"-"&amp;D99</f>
        <v/>
      </c>
      <c r="G99" s="7" t="inlineStr">
        <is>
          <t>HW</t>
        </is>
      </c>
      <c r="H99" s="47" t="n"/>
      <c r="I99" s="7" t="n"/>
      <c r="J99" s="11" t="inlineStr">
        <is>
          <t>HW</t>
        </is>
      </c>
    </row>
    <row r="100">
      <c r="A100" s="6" t="inlineStr">
        <is>
          <t>T</t>
        </is>
      </c>
      <c r="B100" s="6" t="n">
        <v>5</v>
      </c>
      <c r="C100" s="6" t="inlineStr">
        <is>
          <t>D</t>
        </is>
      </c>
      <c r="D100" s="7" t="inlineStr">
        <is>
          <t>05</t>
        </is>
      </c>
      <c r="E100" s="7" t="n">
        <v>3</v>
      </c>
      <c r="F100" s="7">
        <f>A100&amp;B100&amp;"-"&amp;C100&amp;E100&amp;"-"&amp;D100</f>
        <v/>
      </c>
      <c r="G100" s="7" t="n">
        <v>731</v>
      </c>
      <c r="H100" s="47">
        <f>_xlfn.XLOOKUP(G100,'All Associates'!A:A,'All Associates'!B:B)</f>
        <v/>
      </c>
      <c r="I100" s="7">
        <f>_xlfn.XLOOKUP(G100,'All Associates'!A:A,'All Associates'!D:D)</f>
        <v/>
      </c>
      <c r="J100" s="11">
        <f>IF(G100&lt;&gt;"","Allocated","Available")</f>
        <v/>
      </c>
    </row>
    <row r="101">
      <c r="A101" s="6" t="inlineStr">
        <is>
          <t>T</t>
        </is>
      </c>
      <c r="B101" s="6" t="n">
        <v>5</v>
      </c>
      <c r="C101" s="6" t="inlineStr">
        <is>
          <t>D</t>
        </is>
      </c>
      <c r="D101" s="7" t="inlineStr">
        <is>
          <t>06</t>
        </is>
      </c>
      <c r="E101" s="7" t="n">
        <v>3</v>
      </c>
      <c r="F101" s="7">
        <f>A101&amp;B101&amp;"-"&amp;C101&amp;E101&amp;"-"&amp;D101</f>
        <v/>
      </c>
      <c r="G101" s="7" t="n">
        <v>1032</v>
      </c>
      <c r="H101" s="47">
        <f>_xlfn.XLOOKUP(G101,'All Associates'!A:A,'All Associates'!B:B)</f>
        <v/>
      </c>
      <c r="I101" s="7">
        <f>_xlfn.XLOOKUP(G101,'All Associates'!A:A,'All Associates'!D:D)</f>
        <v/>
      </c>
      <c r="J101" s="11">
        <f>IF(G101&lt;&gt;"","Allocated","Available")</f>
        <v/>
      </c>
    </row>
    <row r="102">
      <c r="A102" s="6" t="inlineStr">
        <is>
          <t>T</t>
        </is>
      </c>
      <c r="B102" s="6" t="n">
        <v>5</v>
      </c>
      <c r="C102" s="6" t="inlineStr">
        <is>
          <t>D</t>
        </is>
      </c>
      <c r="D102" s="7" t="inlineStr">
        <is>
          <t>01</t>
        </is>
      </c>
      <c r="E102" s="7" t="n">
        <v>4</v>
      </c>
      <c r="F102" s="7">
        <f>A102&amp;B102&amp;"-"&amp;C102&amp;E102&amp;"-"&amp;D102</f>
        <v/>
      </c>
      <c r="G102" s="7" t="n">
        <v>885</v>
      </c>
      <c r="H102" s="47">
        <f>_xlfn.XLOOKUP(G102,'All Associates'!A:A,'All Associates'!B:B)</f>
        <v/>
      </c>
      <c r="I102" s="7">
        <f>_xlfn.XLOOKUP(G102,'All Associates'!A:A,'All Associates'!D:D)</f>
        <v/>
      </c>
      <c r="J102" s="11">
        <f>IF(G102&lt;&gt;"","Allocated","Available")</f>
        <v/>
      </c>
    </row>
    <row r="103">
      <c r="A103" s="6" t="inlineStr">
        <is>
          <t>T</t>
        </is>
      </c>
      <c r="B103" s="6" t="n">
        <v>5</v>
      </c>
      <c r="C103" s="6" t="inlineStr">
        <is>
          <t>D</t>
        </is>
      </c>
      <c r="D103" s="7" t="inlineStr">
        <is>
          <t>02</t>
        </is>
      </c>
      <c r="E103" s="7" t="n">
        <v>4</v>
      </c>
      <c r="F103" s="7">
        <f>A103&amp;B103&amp;"-"&amp;C103&amp;E103&amp;"-"&amp;D103</f>
        <v/>
      </c>
      <c r="G103" s="7" t="n">
        <v>950</v>
      </c>
      <c r="H103" s="47">
        <f>_xlfn.XLOOKUP(G103,'All Associates'!A:A,'All Associates'!B:B)</f>
        <v/>
      </c>
      <c r="I103" s="7">
        <f>_xlfn.XLOOKUP(G103,'All Associates'!A:A,'All Associates'!D:D)</f>
        <v/>
      </c>
      <c r="J103" s="11">
        <f>IF(G103&lt;&gt;"","Allocated","Available")</f>
        <v/>
      </c>
    </row>
    <row r="104">
      <c r="A104" s="6" t="inlineStr">
        <is>
          <t>T</t>
        </is>
      </c>
      <c r="B104" s="6" t="n">
        <v>5</v>
      </c>
      <c r="C104" s="6" t="inlineStr">
        <is>
          <t>D</t>
        </is>
      </c>
      <c r="D104" s="7" t="inlineStr">
        <is>
          <t>03</t>
        </is>
      </c>
      <c r="E104" s="7" t="n">
        <v>4</v>
      </c>
      <c r="F104" s="7">
        <f>A104&amp;B104&amp;"-"&amp;C104&amp;E104&amp;"-"&amp;D104</f>
        <v/>
      </c>
      <c r="G104" s="7" t="n">
        <v>1246</v>
      </c>
      <c r="H104" s="47">
        <f>_xlfn.XLOOKUP(G104,'All Associates'!A:A,'All Associates'!B:B)</f>
        <v/>
      </c>
      <c r="I104" s="7">
        <f>_xlfn.XLOOKUP(G104,'All Associates'!A:A,'All Associates'!D:D)</f>
        <v/>
      </c>
      <c r="J104" s="11">
        <f>IF(G104&lt;&gt;"","Allocated","Available")</f>
        <v/>
      </c>
    </row>
    <row r="105">
      <c r="A105" s="6" t="inlineStr">
        <is>
          <t>T</t>
        </is>
      </c>
      <c r="B105" s="6" t="n">
        <v>5</v>
      </c>
      <c r="C105" s="6" t="inlineStr">
        <is>
          <t>D</t>
        </is>
      </c>
      <c r="D105" s="7" t="inlineStr">
        <is>
          <t>04</t>
        </is>
      </c>
      <c r="E105" s="7" t="n">
        <v>4</v>
      </c>
      <c r="F105" s="7">
        <f>A105&amp;B105&amp;"-"&amp;C105&amp;E105&amp;"-"&amp;D105</f>
        <v/>
      </c>
      <c r="G105" s="7" t="inlineStr">
        <is>
          <t>HW</t>
        </is>
      </c>
      <c r="H105" s="47">
        <f>_xlfn.XLOOKUP(G105,'All Associates'!A:A,'All Associates'!B:B)</f>
        <v/>
      </c>
      <c r="I105" s="7">
        <f>_xlfn.XLOOKUP(G105,'All Associates'!A:A,'All Associates'!D:D)</f>
        <v/>
      </c>
      <c r="J105" s="11">
        <f>IF(G105&lt;&gt;"","Allocated","Available")</f>
        <v/>
      </c>
    </row>
    <row r="106">
      <c r="A106" s="6" t="inlineStr">
        <is>
          <t>T</t>
        </is>
      </c>
      <c r="B106" s="6" t="n">
        <v>5</v>
      </c>
      <c r="C106" s="6" t="inlineStr">
        <is>
          <t>D</t>
        </is>
      </c>
      <c r="D106" s="7" t="inlineStr">
        <is>
          <t>05</t>
        </is>
      </c>
      <c r="E106" s="7" t="n">
        <v>4</v>
      </c>
      <c r="F106" s="7">
        <f>A106&amp;B106&amp;"-"&amp;C106&amp;E106&amp;"-"&amp;D106</f>
        <v/>
      </c>
      <c r="G106" s="7" t="n"/>
      <c r="H106" s="47">
        <f>_xlfn.XLOOKUP(G106,'All Associates'!A:A,'All Associates'!B:B)</f>
        <v/>
      </c>
      <c r="I106" s="7">
        <f>_xlfn.XLOOKUP(G106,'All Associates'!A:A,'All Associates'!D:D)</f>
        <v/>
      </c>
      <c r="J106" s="11">
        <f>IF(G106&lt;&gt;"","Allocated","Available")</f>
        <v/>
      </c>
    </row>
    <row r="107">
      <c r="A107" s="6" t="inlineStr">
        <is>
          <t>T</t>
        </is>
      </c>
      <c r="B107" s="6" t="n">
        <v>5</v>
      </c>
      <c r="C107" s="6" t="inlineStr">
        <is>
          <t>D</t>
        </is>
      </c>
      <c r="D107" s="7" t="inlineStr">
        <is>
          <t>06</t>
        </is>
      </c>
      <c r="E107" s="7" t="n">
        <v>4</v>
      </c>
      <c r="F107" s="7">
        <f>A107&amp;B107&amp;"-"&amp;C107&amp;E107&amp;"-"&amp;D107</f>
        <v/>
      </c>
      <c r="G107" s="7" t="n">
        <v>2051</v>
      </c>
      <c r="H107" s="47">
        <f>_xlfn.XLOOKUP(G107,'All Associates'!A:A,'All Associates'!B:B)</f>
        <v/>
      </c>
      <c r="I107" s="7">
        <f>_xlfn.XLOOKUP(G107,'All Associates'!A:A,'All Associates'!D:D)</f>
        <v/>
      </c>
      <c r="J107" s="11" t="inlineStr">
        <is>
          <t>HW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T8hU7SRAXG/kV8oBGAz9/w==" formatRows="1" sort="0" spinCount="100000" hashValue="HPOBFwHRLar/+97oGsvBMhcgQvHrvpbRwUTQ2p5dofrrvnRv8pRPPWabjvlk1Z7jlzZWuFev4DIc/xw7q/JEkg=="/>
  <autoFilter ref="A1:J107"/>
  <conditionalFormatting sqref="G1">
    <cfRule type="duplicateValues" priority="2" dxfId="0"/>
  </conditionalFormatting>
  <conditionalFormatting sqref="G1:G125 G127:G1048576">
    <cfRule type="duplicateValues" priority="1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"/>
  <sheetViews>
    <sheetView showGridLines="0" zoomScaleNormal="100" workbookViewId="0">
      <pane xSplit="3" ySplit="1" topLeftCell="D22" activePane="bottomRight" state="frozen"/>
      <selection pane="bottomRight" activeCell="H29" sqref="H29"/>
      <selection pane="bottomLeft" activeCell="A2" sqref="A2"/>
      <selection pane="topRight" activeCell="E1" sqref="E1"/>
    </sheetView>
  </sheetViews>
  <sheetFormatPr baseColWidth="8" defaultColWidth="8.7109375" defaultRowHeight="15"/>
  <cols>
    <col width="9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5.28515625" customWidth="1" style="1" min="7" max="7"/>
    <col width="30" customWidth="1" style="18" min="8" max="8"/>
    <col width="25.7109375" customWidth="1" style="18" min="9" max="9"/>
    <col width="15.42578125" customWidth="1" min="10" max="10"/>
    <col width="10.85546875" customWidth="1" min="13" max="13"/>
    <col width="12.42578125" customWidth="1" min="15" max="15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10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  <c r="O1" s="60" t="inlineStr">
        <is>
          <t>Temporar</t>
        </is>
      </c>
    </row>
    <row r="2">
      <c r="A2" s="6" t="inlineStr">
        <is>
          <t>T</t>
        </is>
      </c>
      <c r="B2" s="6" t="n">
        <v>6</v>
      </c>
      <c r="C2" s="7" t="inlineStr">
        <is>
          <t>A</t>
        </is>
      </c>
      <c r="D2" s="7" t="inlineStr">
        <is>
          <t>01</t>
        </is>
      </c>
      <c r="E2" s="7" t="n">
        <v>1</v>
      </c>
      <c r="F2" s="7">
        <f>A2&amp;B2&amp;"-"&amp;C2&amp;E2&amp;"-"&amp;D2</f>
        <v/>
      </c>
      <c r="G2" s="7" t="n">
        <v>613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11">
        <f>IF(G2&lt;&gt;"","Allocated","Available")</f>
        <v/>
      </c>
    </row>
    <row r="3">
      <c r="A3" s="6" t="inlineStr">
        <is>
          <t>T</t>
        </is>
      </c>
      <c r="B3" s="6" t="n">
        <v>6</v>
      </c>
      <c r="C3" s="7" t="inlineStr">
        <is>
          <t>A</t>
        </is>
      </c>
      <c r="D3" s="7" t="inlineStr">
        <is>
          <t>02</t>
        </is>
      </c>
      <c r="E3" s="7" t="n">
        <v>1</v>
      </c>
      <c r="F3" s="7">
        <f>A3&amp;B3&amp;"-"&amp;C3&amp;E3&amp;"-"&amp;D3</f>
        <v/>
      </c>
      <c r="G3" s="7" t="n">
        <v>728</v>
      </c>
      <c r="H3" s="47">
        <f>_xlfn.XLOOKUP(G3,'All Associates'!A:A,'All Associates'!B:B)</f>
        <v/>
      </c>
      <c r="I3" s="47">
        <f>_xlfn.XLOOKUP(G3,'All Associates'!A:A,'All Associates'!D:D)</f>
        <v/>
      </c>
      <c r="J3" s="11">
        <f>IF(G3&lt;&gt;"","Allocated","Available")</f>
        <v/>
      </c>
    </row>
    <row r="4">
      <c r="A4" s="6" t="inlineStr">
        <is>
          <t>T</t>
        </is>
      </c>
      <c r="B4" s="6" t="n">
        <v>6</v>
      </c>
      <c r="C4" s="7" t="inlineStr">
        <is>
          <t>A</t>
        </is>
      </c>
      <c r="D4" s="7" t="inlineStr">
        <is>
          <t>03</t>
        </is>
      </c>
      <c r="E4" s="7" t="n">
        <v>1</v>
      </c>
      <c r="F4" s="7">
        <f>A4&amp;B4&amp;"-"&amp;C4&amp;E4&amp;"-"&amp;D4</f>
        <v/>
      </c>
      <c r="G4" s="7" t="n">
        <v>1004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11">
        <f>IF(G4&lt;&gt;"","Allocated","Available")</f>
        <v/>
      </c>
    </row>
    <row r="5">
      <c r="A5" s="6" t="inlineStr">
        <is>
          <t>T</t>
        </is>
      </c>
      <c r="B5" s="6" t="n">
        <v>6</v>
      </c>
      <c r="C5" s="7" t="inlineStr">
        <is>
          <t>A</t>
        </is>
      </c>
      <c r="D5" s="7" t="inlineStr">
        <is>
          <t>04</t>
        </is>
      </c>
      <c r="E5" s="7" t="n">
        <v>1</v>
      </c>
      <c r="F5" s="7">
        <f>A5&amp;B5&amp;"-"&amp;C5&amp;E5&amp;"-"&amp;D5</f>
        <v/>
      </c>
      <c r="G5" s="7" t="n">
        <v>908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11">
        <f>IF(G5&lt;&gt;"","Allocated","Available")</f>
        <v/>
      </c>
    </row>
    <row r="6">
      <c r="A6" s="6" t="inlineStr">
        <is>
          <t>T</t>
        </is>
      </c>
      <c r="B6" s="6" t="n">
        <v>6</v>
      </c>
      <c r="C6" s="7" t="inlineStr">
        <is>
          <t>A</t>
        </is>
      </c>
      <c r="D6" s="7" t="inlineStr">
        <is>
          <t>05</t>
        </is>
      </c>
      <c r="E6" s="7" t="n">
        <v>1</v>
      </c>
      <c r="F6" s="7">
        <f>A6&amp;B6&amp;"-"&amp;C6&amp;E6&amp;"-"&amp;D6</f>
        <v/>
      </c>
      <c r="G6" s="7" t="n">
        <v>955</v>
      </c>
      <c r="H6" s="47">
        <f>_xlfn.XLOOKUP(G6,'All Associates'!A:A,'All Associates'!B:B)</f>
        <v/>
      </c>
      <c r="I6" s="47">
        <f>_xlfn.XLOOKUP(G6,'All Associates'!A:A,'All Associates'!D:D)</f>
        <v/>
      </c>
      <c r="J6" s="11">
        <f>IF(G6&lt;&gt;"","Allocated","Available")</f>
        <v/>
      </c>
    </row>
    <row r="7">
      <c r="A7" s="6" t="inlineStr">
        <is>
          <t>T</t>
        </is>
      </c>
      <c r="B7" s="6" t="n">
        <v>6</v>
      </c>
      <c r="C7" s="7" t="inlineStr">
        <is>
          <t>A</t>
        </is>
      </c>
      <c r="D7" s="7" t="inlineStr">
        <is>
          <t>06</t>
        </is>
      </c>
      <c r="E7" s="7" t="n">
        <v>1</v>
      </c>
      <c r="F7" s="7">
        <f>A7&amp;B7&amp;"-"&amp;C7&amp;E7&amp;"-"&amp;D7</f>
        <v/>
      </c>
      <c r="G7" s="7" t="n">
        <v>1025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11">
        <f>IF(G7&lt;&gt;"","Allocated","Available")</f>
        <v/>
      </c>
    </row>
    <row r="8">
      <c r="A8" s="6" t="inlineStr">
        <is>
          <t>T</t>
        </is>
      </c>
      <c r="B8" s="6" t="n">
        <v>6</v>
      </c>
      <c r="C8" s="7" t="inlineStr">
        <is>
          <t>A</t>
        </is>
      </c>
      <c r="D8" s="7" t="inlineStr">
        <is>
          <t>07</t>
        </is>
      </c>
      <c r="E8" s="7" t="n">
        <v>1</v>
      </c>
      <c r="F8" s="7">
        <f>A8&amp;B8&amp;"-"&amp;C8&amp;E8&amp;"-"&amp;D8</f>
        <v/>
      </c>
      <c r="G8" s="7" t="n">
        <v>1007</v>
      </c>
      <c r="H8" s="47">
        <f>_xlfn.XLOOKUP(G8,'All Associates'!A:A,'All Associates'!B:B)</f>
        <v/>
      </c>
      <c r="I8" s="47">
        <f>_xlfn.XLOOKUP(G8,'All Associates'!A:A,'All Associates'!D:D)</f>
        <v/>
      </c>
      <c r="J8" s="11">
        <f>IF(G8&lt;&gt;"","Allocated","Available")</f>
        <v/>
      </c>
    </row>
    <row r="9">
      <c r="A9" s="6" t="inlineStr">
        <is>
          <t>T</t>
        </is>
      </c>
      <c r="B9" s="6" t="n">
        <v>6</v>
      </c>
      <c r="C9" s="7" t="inlineStr">
        <is>
          <t>A</t>
        </is>
      </c>
      <c r="D9" s="7" t="inlineStr">
        <is>
          <t>08</t>
        </is>
      </c>
      <c r="E9" s="7" t="n">
        <v>1</v>
      </c>
      <c r="F9" s="7">
        <f>A9&amp;B9&amp;"-"&amp;C9&amp;E9&amp;"-"&amp;D9</f>
        <v/>
      </c>
      <c r="G9" s="7" t="n">
        <v>1071</v>
      </c>
      <c r="H9" s="47">
        <f>_xlfn.XLOOKUP(G9,'All Associates'!A:A,'All Associates'!B:B)</f>
        <v/>
      </c>
      <c r="I9" s="47">
        <f>_xlfn.XLOOKUP(G9,'All Associates'!A:A,'All Associates'!D:D)</f>
        <v/>
      </c>
      <c r="J9" s="11">
        <f>IF(G9&lt;&gt;"","Allocated","Available")</f>
        <v/>
      </c>
    </row>
    <row r="10">
      <c r="A10" s="6" t="inlineStr">
        <is>
          <t>T</t>
        </is>
      </c>
      <c r="B10" s="6" t="n">
        <v>6</v>
      </c>
      <c r="C10" s="7" t="inlineStr">
        <is>
          <t>A</t>
        </is>
      </c>
      <c r="D10" s="7" t="inlineStr">
        <is>
          <t>01</t>
        </is>
      </c>
      <c r="E10" s="7" t="n">
        <v>2</v>
      </c>
      <c r="F10" s="7">
        <f>A10&amp;B10&amp;"-"&amp;C10&amp;E10&amp;"-"&amp;D10</f>
        <v/>
      </c>
      <c r="G10" s="7" t="n">
        <v>984</v>
      </c>
      <c r="H10" s="47">
        <f>_xlfn.XLOOKUP(G10,'All Associates'!A:A,'All Associates'!B:B)</f>
        <v/>
      </c>
      <c r="I10" s="47">
        <f>_xlfn.XLOOKUP(G10,'All Associates'!A:A,'All Associates'!D:D)</f>
        <v/>
      </c>
      <c r="J10" s="11">
        <f>IF(G10&lt;&gt;"","Allocated","Available")</f>
        <v/>
      </c>
    </row>
    <row r="11">
      <c r="A11" s="6" t="inlineStr">
        <is>
          <t>T</t>
        </is>
      </c>
      <c r="B11" s="6" t="n">
        <v>6</v>
      </c>
      <c r="C11" s="7" t="inlineStr">
        <is>
          <t>A</t>
        </is>
      </c>
      <c r="D11" s="7" t="inlineStr">
        <is>
          <t>02</t>
        </is>
      </c>
      <c r="E11" s="7" t="n">
        <v>2</v>
      </c>
      <c r="F11" s="7">
        <f>A11&amp;B11&amp;"-"&amp;C11&amp;E11&amp;"-"&amp;D11</f>
        <v/>
      </c>
      <c r="G11" s="7" t="n">
        <v>509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11">
        <f>IF(G11&lt;&gt;"","Allocated","Available")</f>
        <v/>
      </c>
    </row>
    <row r="12">
      <c r="A12" s="6" t="inlineStr">
        <is>
          <t>T</t>
        </is>
      </c>
      <c r="B12" s="6" t="n">
        <v>6</v>
      </c>
      <c r="C12" s="7" t="inlineStr">
        <is>
          <t>A</t>
        </is>
      </c>
      <c r="D12" s="7" t="inlineStr">
        <is>
          <t>03</t>
        </is>
      </c>
      <c r="E12" s="7" t="n">
        <v>2</v>
      </c>
      <c r="F12" s="7">
        <f>A12&amp;B12&amp;"-"&amp;C12&amp;E12&amp;"-"&amp;D12</f>
        <v/>
      </c>
      <c r="G12" s="7" t="n">
        <v>947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11">
        <f>IF(G12&lt;&gt;"","Allocated","Available")</f>
        <v/>
      </c>
    </row>
    <row r="13">
      <c r="A13" s="6" t="inlineStr">
        <is>
          <t>T</t>
        </is>
      </c>
      <c r="B13" s="6" t="n">
        <v>6</v>
      </c>
      <c r="C13" s="7" t="inlineStr">
        <is>
          <t>A</t>
        </is>
      </c>
      <c r="D13" s="7" t="inlineStr">
        <is>
          <t>04</t>
        </is>
      </c>
      <c r="E13" s="7" t="n">
        <v>2</v>
      </c>
      <c r="F13" s="7">
        <f>A13&amp;B13&amp;"-"&amp;C13&amp;E13&amp;"-"&amp;D13</f>
        <v/>
      </c>
      <c r="G13" s="7" t="n">
        <v>1164</v>
      </c>
      <c r="H13" s="47">
        <f>_xlfn.XLOOKUP(G13,'All Associates'!A:A,'All Associates'!B:B)</f>
        <v/>
      </c>
      <c r="I13" s="47">
        <f>_xlfn.XLOOKUP(G13,'All Associates'!A:A,'All Associates'!D:D)</f>
        <v/>
      </c>
      <c r="J13" s="11">
        <f>IF(G13&lt;&gt;"","Allocated","Available")</f>
        <v/>
      </c>
    </row>
    <row r="14">
      <c r="A14" s="6" t="inlineStr">
        <is>
          <t>T</t>
        </is>
      </c>
      <c r="B14" s="6" t="n">
        <v>6</v>
      </c>
      <c r="C14" s="7" t="inlineStr">
        <is>
          <t>A</t>
        </is>
      </c>
      <c r="D14" s="7" t="inlineStr">
        <is>
          <t>05</t>
        </is>
      </c>
      <c r="E14" s="7" t="n">
        <v>2</v>
      </c>
      <c r="F14" s="7">
        <f>A14&amp;B14&amp;"-"&amp;C14&amp;E14&amp;"-"&amp;D14</f>
        <v/>
      </c>
      <c r="G14" s="7" t="n">
        <v>1137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11">
        <f>IF(G14&lt;&gt;"","Allocated","Available")</f>
        <v/>
      </c>
    </row>
    <row r="15">
      <c r="A15" s="6" t="inlineStr">
        <is>
          <t>T</t>
        </is>
      </c>
      <c r="B15" s="6" t="n">
        <v>6</v>
      </c>
      <c r="C15" s="7" t="inlineStr">
        <is>
          <t>A</t>
        </is>
      </c>
      <c r="D15" s="7" t="inlineStr">
        <is>
          <t>06</t>
        </is>
      </c>
      <c r="E15" s="7" t="n">
        <v>2</v>
      </c>
      <c r="F15" s="7">
        <f>A15&amp;B15&amp;"-"&amp;C15&amp;E15&amp;"-"&amp;D15</f>
        <v/>
      </c>
      <c r="G15" s="7" t="n">
        <v>2006</v>
      </c>
      <c r="H15" s="47">
        <f>_xlfn.XLOOKUP(G15,'All Associates'!A:A,'All Associates'!B:B)</f>
        <v/>
      </c>
      <c r="I15" s="47">
        <f>_xlfn.XLOOKUP(G15,'All Associates'!A:A,'All Associates'!D:D)</f>
        <v/>
      </c>
      <c r="J15" s="11">
        <f>IF(G15&lt;&gt;"","Allocated","Available")</f>
        <v/>
      </c>
    </row>
    <row r="16">
      <c r="A16" s="6" t="inlineStr">
        <is>
          <t>T</t>
        </is>
      </c>
      <c r="B16" s="6" t="n">
        <v>6</v>
      </c>
      <c r="C16" s="7" t="inlineStr">
        <is>
          <t>A</t>
        </is>
      </c>
      <c r="D16" s="7" t="inlineStr">
        <is>
          <t>07</t>
        </is>
      </c>
      <c r="E16" s="7" t="n">
        <v>2</v>
      </c>
      <c r="F16" s="7">
        <f>A16&amp;B16&amp;"-"&amp;C16&amp;E16&amp;"-"&amp;D16</f>
        <v/>
      </c>
      <c r="G16" s="6" t="n">
        <v>1061</v>
      </c>
      <c r="H16" s="58">
        <f>_xlfn.XLOOKUP(G16,'All Associates'!A:A,'All Associates'!B:B)</f>
        <v/>
      </c>
      <c r="I16" s="58">
        <f>_xlfn.XLOOKUP(G16,'All Associates'!A:A,'All Associates'!D:D)</f>
        <v/>
      </c>
      <c r="J16" s="11">
        <f>IF(G16&lt;&gt;"","Allocated","Available")</f>
        <v/>
      </c>
    </row>
    <row r="17">
      <c r="A17" s="6" t="inlineStr">
        <is>
          <t>T</t>
        </is>
      </c>
      <c r="B17" s="6" t="n">
        <v>6</v>
      </c>
      <c r="C17" s="7" t="inlineStr">
        <is>
          <t>A</t>
        </is>
      </c>
      <c r="D17" s="7" t="inlineStr">
        <is>
          <t>08</t>
        </is>
      </c>
      <c r="E17" s="7" t="n">
        <v>2</v>
      </c>
      <c r="F17" s="7">
        <f>A17&amp;B17&amp;"-"&amp;C17&amp;E17&amp;"-"&amp;D17</f>
        <v/>
      </c>
      <c r="G17" s="6" t="n">
        <v>825</v>
      </c>
      <c r="H17" s="58">
        <f>_xlfn.XLOOKUP(G17,'All Associates'!A:A,'All Associates'!B:B)</f>
        <v/>
      </c>
      <c r="I17" s="58">
        <f>_xlfn.XLOOKUP(G17,'All Associates'!A:A,'All Associates'!D:D)</f>
        <v/>
      </c>
      <c r="J17" s="11">
        <f>IF(G17&lt;&gt;"","Allocated","Available")</f>
        <v/>
      </c>
    </row>
    <row r="18">
      <c r="A18" s="6" t="inlineStr">
        <is>
          <t>T</t>
        </is>
      </c>
      <c r="B18" s="6" t="n">
        <v>6</v>
      </c>
      <c r="C18" s="7" t="inlineStr">
        <is>
          <t>A</t>
        </is>
      </c>
      <c r="D18" s="7" t="inlineStr">
        <is>
          <t>01</t>
        </is>
      </c>
      <c r="E18" s="7" t="n">
        <v>3</v>
      </c>
      <c r="F18" s="7">
        <f>A18&amp;B18&amp;"-"&amp;C18&amp;E18&amp;"-"&amp;D18</f>
        <v/>
      </c>
      <c r="G18" s="7" t="n">
        <v>1088</v>
      </c>
      <c r="H18" s="47">
        <f>_xlfn.XLOOKUP(G18,'All Associates'!A:A,'All Associates'!B:B)</f>
        <v/>
      </c>
      <c r="I18" s="47">
        <f>_xlfn.XLOOKUP(G18,'All Associates'!A:A,'All Associates'!D:D)</f>
        <v/>
      </c>
      <c r="J18" s="11">
        <f>IF(G18&lt;&gt;"","Allocated","Available")</f>
        <v/>
      </c>
    </row>
    <row r="19">
      <c r="A19" s="6" t="inlineStr">
        <is>
          <t>T</t>
        </is>
      </c>
      <c r="B19" s="6" t="n">
        <v>6</v>
      </c>
      <c r="C19" s="7" t="inlineStr">
        <is>
          <t>A</t>
        </is>
      </c>
      <c r="D19" s="7" t="inlineStr">
        <is>
          <t>02</t>
        </is>
      </c>
      <c r="E19" s="7" t="n">
        <v>3</v>
      </c>
      <c r="F19" s="7">
        <f>A19&amp;B19&amp;"-"&amp;C19&amp;E19&amp;"-"&amp;D19</f>
        <v/>
      </c>
      <c r="G19" s="7" t="n">
        <v>920</v>
      </c>
      <c r="H19" s="47">
        <f>_xlfn.XLOOKUP(G19,'All Associates'!A:A,'All Associates'!B:B)</f>
        <v/>
      </c>
      <c r="I19" s="47">
        <f>_xlfn.XLOOKUP(G19,'All Associates'!A:A,'All Associates'!D:D)</f>
        <v/>
      </c>
      <c r="J19" s="11">
        <f>IF(G19&lt;&gt;"","Allocated","Available")</f>
        <v/>
      </c>
    </row>
    <row r="20">
      <c r="A20" s="6" t="inlineStr">
        <is>
          <t>T</t>
        </is>
      </c>
      <c r="B20" s="6" t="n">
        <v>6</v>
      </c>
      <c r="C20" s="7" t="inlineStr">
        <is>
          <t>A</t>
        </is>
      </c>
      <c r="D20" s="7" t="inlineStr">
        <is>
          <t>03</t>
        </is>
      </c>
      <c r="E20" s="7" t="n">
        <v>3</v>
      </c>
      <c r="F20" s="7">
        <f>A20&amp;B20&amp;"-"&amp;C20&amp;E20&amp;"-"&amp;D20</f>
        <v/>
      </c>
      <c r="G20" s="7" t="n">
        <v>1131</v>
      </c>
      <c r="H20" s="47">
        <f>_xlfn.XLOOKUP(G20,'All Associates'!A:A,'All Associates'!B:B)</f>
        <v/>
      </c>
      <c r="I20" s="47">
        <f>_xlfn.XLOOKUP(G20,'All Associates'!A:A,'All Associates'!D:D)</f>
        <v/>
      </c>
      <c r="J20" s="11">
        <f>IF(G20&lt;&gt;"","Allocated","Available")</f>
        <v/>
      </c>
    </row>
    <row r="21">
      <c r="A21" s="6" t="inlineStr">
        <is>
          <t>T</t>
        </is>
      </c>
      <c r="B21" s="6" t="n">
        <v>6</v>
      </c>
      <c r="C21" s="7" t="inlineStr">
        <is>
          <t>A</t>
        </is>
      </c>
      <c r="D21" s="7" t="inlineStr">
        <is>
          <t>04</t>
        </is>
      </c>
      <c r="E21" s="7" t="n">
        <v>3</v>
      </c>
      <c r="F21" s="7">
        <f>A21&amp;B21&amp;"-"&amp;C21&amp;E21&amp;"-"&amp;D21</f>
        <v/>
      </c>
      <c r="G21" s="7" t="n">
        <v>900</v>
      </c>
      <c r="H21" s="47">
        <f>_xlfn.XLOOKUP(G21,'All Associates'!A:A,'All Associates'!B:B)</f>
        <v/>
      </c>
      <c r="I21" s="47">
        <f>_xlfn.XLOOKUP(G21,'All Associates'!A:A,'All Associates'!D:D)</f>
        <v/>
      </c>
      <c r="J21" s="11">
        <f>IF(G21&lt;&gt;"","Allocated","Available")</f>
        <v/>
      </c>
    </row>
    <row r="22">
      <c r="A22" s="6" t="inlineStr">
        <is>
          <t>T</t>
        </is>
      </c>
      <c r="B22" s="6" t="n">
        <v>6</v>
      </c>
      <c r="C22" s="7" t="inlineStr">
        <is>
          <t>A</t>
        </is>
      </c>
      <c r="D22" s="7" t="inlineStr">
        <is>
          <t>05</t>
        </is>
      </c>
      <c r="E22" s="7" t="n">
        <v>3</v>
      </c>
      <c r="F22" s="7">
        <f>A22&amp;B22&amp;"-"&amp;C22&amp;E22&amp;"-"&amp;D22</f>
        <v/>
      </c>
      <c r="G22" s="7" t="n">
        <v>1114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11">
        <f>IF(G22&lt;&gt;"","Allocated","Available")</f>
        <v/>
      </c>
    </row>
    <row r="23">
      <c r="A23" s="6" t="inlineStr">
        <is>
          <t>T</t>
        </is>
      </c>
      <c r="B23" s="6" t="n">
        <v>6</v>
      </c>
      <c r="C23" s="7" t="inlineStr">
        <is>
          <t>A</t>
        </is>
      </c>
      <c r="D23" s="7" t="inlineStr">
        <is>
          <t>06</t>
        </is>
      </c>
      <c r="E23" s="7" t="n">
        <v>3</v>
      </c>
      <c r="F23" s="7">
        <f>A23&amp;B23&amp;"-"&amp;C23&amp;E23&amp;"-"&amp;D23</f>
        <v/>
      </c>
      <c r="G23" s="7" t="n">
        <v>1029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11">
        <f>IF(G23&lt;&gt;"","Allocated","Available")</f>
        <v/>
      </c>
    </row>
    <row r="24">
      <c r="A24" s="6" t="inlineStr">
        <is>
          <t>T</t>
        </is>
      </c>
      <c r="B24" s="6" t="n">
        <v>6</v>
      </c>
      <c r="C24" s="7" t="inlineStr">
        <is>
          <t>A</t>
        </is>
      </c>
      <c r="D24" s="7" t="inlineStr">
        <is>
          <t>07</t>
        </is>
      </c>
      <c r="E24" s="7" t="n">
        <v>3</v>
      </c>
      <c r="F24" s="7">
        <f>A24&amp;B24&amp;"-"&amp;C24&amp;E24&amp;"-"&amp;D24</f>
        <v/>
      </c>
      <c r="G24" s="7" t="n">
        <v>2015</v>
      </c>
      <c r="H24" s="47">
        <f>_xlfn.XLOOKUP(G24,'All Associates'!A:A,'All Associates'!B:B)</f>
        <v/>
      </c>
      <c r="I24" s="47">
        <f>_xlfn.XLOOKUP(G24,'All Associates'!A:A,'All Associates'!D:D)</f>
        <v/>
      </c>
      <c r="J24" s="11">
        <f>IF(G24&lt;&gt;"","Allocated","Available")</f>
        <v/>
      </c>
    </row>
    <row r="25">
      <c r="A25" s="6" t="inlineStr">
        <is>
          <t>T</t>
        </is>
      </c>
      <c r="B25" s="6" t="n">
        <v>6</v>
      </c>
      <c r="C25" s="7" t="inlineStr">
        <is>
          <t>A</t>
        </is>
      </c>
      <c r="D25" s="7" t="inlineStr">
        <is>
          <t>08</t>
        </is>
      </c>
      <c r="E25" s="7" t="n">
        <v>3</v>
      </c>
      <c r="F25" s="7">
        <f>A25&amp;B25&amp;"-"&amp;C25&amp;E25&amp;"-"&amp;D25</f>
        <v/>
      </c>
      <c r="G25" s="7" t="n">
        <v>802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11">
        <f>IF(G25&lt;&gt;"","Allocated","Available")</f>
        <v/>
      </c>
    </row>
    <row r="26">
      <c r="A26" s="6" t="inlineStr">
        <is>
          <t>T</t>
        </is>
      </c>
      <c r="B26" s="6" t="n">
        <v>6</v>
      </c>
      <c r="C26" s="7" t="inlineStr">
        <is>
          <t>A</t>
        </is>
      </c>
      <c r="D26" s="7" t="inlineStr">
        <is>
          <t>03</t>
        </is>
      </c>
      <c r="E26" s="7" t="inlineStr">
        <is>
          <t>M</t>
        </is>
      </c>
      <c r="F26" s="7">
        <f>A26&amp;B26&amp;"-"&amp;C26&amp;E26&amp;"-"&amp;D26</f>
        <v/>
      </c>
      <c r="G26" s="7" t="n">
        <v>644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11">
        <f>IF(G26&lt;&gt;"","Allocated","Available")</f>
        <v/>
      </c>
    </row>
    <row r="27">
      <c r="A27" s="6" t="inlineStr">
        <is>
          <t>T</t>
        </is>
      </c>
      <c r="B27" s="6" t="n">
        <v>6</v>
      </c>
      <c r="C27" s="7" t="inlineStr">
        <is>
          <t>A</t>
        </is>
      </c>
      <c r="D27" s="12" t="inlineStr">
        <is>
          <t>01</t>
        </is>
      </c>
      <c r="E27" s="7" t="n">
        <v>4</v>
      </c>
      <c r="F27" s="7">
        <f>A27&amp;B27&amp;"-"&amp;C27&amp;E27&amp;"-"&amp;D27</f>
        <v/>
      </c>
      <c r="G27" s="68" t="n">
        <v>1085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11">
        <f>IF(G27&lt;&gt;"","Allocated","Available")</f>
        <v/>
      </c>
    </row>
    <row r="28">
      <c r="A28" s="6" t="inlineStr">
        <is>
          <t>T</t>
        </is>
      </c>
      <c r="B28" s="6" t="n">
        <v>6</v>
      </c>
      <c r="C28" s="7" t="inlineStr">
        <is>
          <t>A</t>
        </is>
      </c>
      <c r="D28" s="12" t="inlineStr">
        <is>
          <t>02</t>
        </is>
      </c>
      <c r="E28" s="7" t="n">
        <v>4</v>
      </c>
      <c r="F28" s="7">
        <f>A28&amp;B28&amp;"-"&amp;C28&amp;E28&amp;"-"&amp;D28</f>
        <v/>
      </c>
      <c r="G28" s="69" t="n">
        <v>2037</v>
      </c>
      <c r="H28" s="47">
        <f>_xlfn.XLOOKUP(G28,'All Associates'!A:A,'All Associates'!B:B)</f>
        <v/>
      </c>
      <c r="I28" s="47">
        <f>_xlfn.XLOOKUP(G28,'All Associates'!A:A,'All Associates'!D:D)</f>
        <v/>
      </c>
      <c r="J28" s="11">
        <f>IF(G28&lt;&gt;"","Allocated","Available")</f>
        <v/>
      </c>
    </row>
    <row r="29">
      <c r="A29" s="6" t="inlineStr">
        <is>
          <t>T</t>
        </is>
      </c>
      <c r="B29" s="6" t="n">
        <v>6</v>
      </c>
      <c r="C29" s="7" t="inlineStr">
        <is>
          <t>A</t>
        </is>
      </c>
      <c r="D29" s="12" t="inlineStr">
        <is>
          <t>03</t>
        </is>
      </c>
      <c r="E29" s="7" t="n">
        <v>4</v>
      </c>
      <c r="F29" s="6">
        <f>A29&amp;B29&amp;"-"&amp;C29&amp;E29&amp;"-"&amp;D29</f>
        <v/>
      </c>
      <c r="G29" s="7" t="n">
        <v>2059</v>
      </c>
      <c r="H29" s="47">
        <f>_xlfn.XLOOKUP(G29,'All Associates'!A:A,'All Associates'!B:B)</f>
        <v/>
      </c>
      <c r="I29" s="47">
        <f>_xlfn.XLOOKUP(G29,'All Associates'!A:A,'All Associates'!D:D)</f>
        <v/>
      </c>
      <c r="J29" s="11">
        <f>IF(G29&lt;&gt;"","Allocated","Available")</f>
        <v/>
      </c>
    </row>
    <row r="30">
      <c r="A30" s="6" t="inlineStr">
        <is>
          <t>T</t>
        </is>
      </c>
      <c r="B30" s="6" t="n">
        <v>6</v>
      </c>
      <c r="C30" s="7" t="inlineStr">
        <is>
          <t>A</t>
        </is>
      </c>
      <c r="D30" s="12" t="inlineStr">
        <is>
          <t>04</t>
        </is>
      </c>
      <c r="E30" s="7" t="n">
        <v>4</v>
      </c>
      <c r="F30" s="7">
        <f>A30&amp;B30&amp;"-"&amp;C30&amp;E30&amp;"-"&amp;D30</f>
        <v/>
      </c>
      <c r="G30" s="7" t="n">
        <v>2041</v>
      </c>
      <c r="H30" s="47">
        <f>_xlfn.XLOOKUP(G30,'All Associates'!A:A,'All Associates'!B:B)</f>
        <v/>
      </c>
      <c r="I30" s="47">
        <f>_xlfn.XLOOKUP(G30,'All Associates'!A:A,'All Associates'!D:D)</f>
        <v/>
      </c>
      <c r="J30" s="11">
        <f>IF(G30&lt;&gt;"","Allocated","Available")</f>
        <v/>
      </c>
    </row>
    <row r="31">
      <c r="A31" s="6" t="inlineStr">
        <is>
          <t>T</t>
        </is>
      </c>
      <c r="B31" s="6" t="n">
        <v>6</v>
      </c>
      <c r="C31" s="7" t="inlineStr">
        <is>
          <t>A</t>
        </is>
      </c>
      <c r="D31" s="12" t="inlineStr">
        <is>
          <t>05</t>
        </is>
      </c>
      <c r="E31" s="7" t="n">
        <v>4</v>
      </c>
      <c r="F31" s="7">
        <f>A31&amp;B31&amp;"-"&amp;C31&amp;E31&amp;"-"&amp;D31</f>
        <v/>
      </c>
      <c r="G31" s="7" t="n">
        <v>2016</v>
      </c>
      <c r="H31" s="47">
        <f>_xlfn.XLOOKUP(G31,'All Associates'!A:A,'All Associates'!B:B)</f>
        <v/>
      </c>
      <c r="I31" s="47">
        <f>_xlfn.XLOOKUP(G31,'All Associates'!A:A,'All Associates'!D:D)</f>
        <v/>
      </c>
      <c r="J31" s="11">
        <f>IF(G31&lt;&gt;"","Allocated","Available")</f>
        <v/>
      </c>
    </row>
    <row r="32">
      <c r="A32" s="6" t="inlineStr">
        <is>
          <t>T</t>
        </is>
      </c>
      <c r="B32" s="6" t="n">
        <v>6</v>
      </c>
      <c r="C32" s="7" t="inlineStr">
        <is>
          <t>A</t>
        </is>
      </c>
      <c r="D32" s="12" t="inlineStr">
        <is>
          <t>06</t>
        </is>
      </c>
      <c r="E32" s="7" t="n">
        <v>4</v>
      </c>
      <c r="F32" s="7">
        <f>A32&amp;B32&amp;"-"&amp;C32&amp;E32&amp;"-"&amp;D32</f>
        <v/>
      </c>
      <c r="G32" s="7" t="n">
        <v>2039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11">
        <f>IF(G32&lt;&gt;"","Allocated","Available")</f>
        <v/>
      </c>
    </row>
    <row r="33">
      <c r="A33" s="6" t="inlineStr">
        <is>
          <t>T</t>
        </is>
      </c>
      <c r="B33" s="6" t="n">
        <v>6</v>
      </c>
      <c r="C33" s="6" t="inlineStr">
        <is>
          <t>B</t>
        </is>
      </c>
      <c r="D33" s="7" t="inlineStr">
        <is>
          <t>01</t>
        </is>
      </c>
      <c r="E33" s="7" t="n">
        <v>1</v>
      </c>
      <c r="F33" s="7">
        <f>A33&amp;B33&amp;"-"&amp;C33&amp;E33&amp;"-"&amp;D33</f>
        <v/>
      </c>
      <c r="G33" s="7" t="n">
        <v>651</v>
      </c>
      <c r="H33" s="47">
        <f>_xlfn.XLOOKUP(G33,'All Associates'!A:A,'All Associates'!B:B)</f>
        <v/>
      </c>
      <c r="I33" s="47">
        <f>_xlfn.XLOOKUP(G33,'All Associates'!A:A,'All Associates'!D:D)</f>
        <v/>
      </c>
      <c r="J33" s="11">
        <f>IF(G33&lt;&gt;"","Allocated","Available")</f>
        <v/>
      </c>
    </row>
    <row r="34">
      <c r="A34" s="6" t="inlineStr">
        <is>
          <t>T</t>
        </is>
      </c>
      <c r="B34" s="6" t="n">
        <v>6</v>
      </c>
      <c r="C34" s="6" t="inlineStr">
        <is>
          <t>B</t>
        </is>
      </c>
      <c r="D34" s="7" t="inlineStr">
        <is>
          <t>02</t>
        </is>
      </c>
      <c r="E34" s="7" t="n">
        <v>1</v>
      </c>
      <c r="F34" s="7">
        <f>A34&amp;B34&amp;"-"&amp;C34&amp;E34&amp;"-"&amp;D34</f>
        <v/>
      </c>
      <c r="G34" s="6" t="n">
        <v>536</v>
      </c>
      <c r="H34" s="47">
        <f>_xlfn.XLOOKUP(G34,'All Associates'!A:A,'All Associates'!B:B)</f>
        <v/>
      </c>
      <c r="I34" s="47">
        <f>_xlfn.XLOOKUP(G34,'All Associates'!A:A,'All Associates'!D:D)</f>
        <v/>
      </c>
      <c r="J34" s="11">
        <f>IF(G34&lt;&gt;"","Allocated","Available")</f>
        <v/>
      </c>
    </row>
    <row r="35">
      <c r="A35" s="6" t="inlineStr">
        <is>
          <t>T</t>
        </is>
      </c>
      <c r="B35" s="6" t="n">
        <v>6</v>
      </c>
      <c r="C35" s="6" t="inlineStr">
        <is>
          <t>B</t>
        </is>
      </c>
      <c r="D35" s="7" t="inlineStr">
        <is>
          <t>03</t>
        </is>
      </c>
      <c r="E35" s="7" t="n">
        <v>1</v>
      </c>
      <c r="F35" s="7">
        <f>A35&amp;B35&amp;"-"&amp;C35&amp;E35&amp;"-"&amp;D35</f>
        <v/>
      </c>
      <c r="G35" s="7" t="n">
        <v>1020</v>
      </c>
      <c r="H35" s="47">
        <f>_xlfn.XLOOKUP(G35,'All Associates'!A:A,'All Associates'!B:B)</f>
        <v/>
      </c>
      <c r="I35" s="47">
        <f>_xlfn.XLOOKUP(G35,'All Associates'!A:A,'All Associates'!D:D)</f>
        <v/>
      </c>
      <c r="J35" s="11">
        <f>IF(G35&lt;&gt;"","Allocated","Available")</f>
        <v/>
      </c>
    </row>
    <row r="36">
      <c r="A36" s="6" t="inlineStr">
        <is>
          <t>T</t>
        </is>
      </c>
      <c r="B36" s="6" t="n">
        <v>6</v>
      </c>
      <c r="C36" s="6" t="inlineStr">
        <is>
          <t>B</t>
        </is>
      </c>
      <c r="D36" s="7" t="inlineStr">
        <is>
          <t>04</t>
        </is>
      </c>
      <c r="E36" s="7" t="n">
        <v>1</v>
      </c>
      <c r="F36" s="7">
        <f>A36&amp;B36&amp;"-"&amp;C36&amp;E36&amp;"-"&amp;D36</f>
        <v/>
      </c>
      <c r="G36" s="6" t="n">
        <v>1102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11">
        <f>IF(G36&lt;&gt;"","Allocated","Available")</f>
        <v/>
      </c>
    </row>
    <row r="37">
      <c r="A37" s="6" t="inlineStr">
        <is>
          <t>T</t>
        </is>
      </c>
      <c r="B37" s="6" t="n">
        <v>6</v>
      </c>
      <c r="C37" s="6" t="inlineStr">
        <is>
          <t>B</t>
        </is>
      </c>
      <c r="D37" s="7" t="inlineStr">
        <is>
          <t>05</t>
        </is>
      </c>
      <c r="E37" s="7" t="n">
        <v>1</v>
      </c>
      <c r="F37" s="7">
        <f>A37&amp;B37&amp;"-"&amp;C37&amp;E37&amp;"-"&amp;D37</f>
        <v/>
      </c>
      <c r="G37" s="7" t="n">
        <v>1011</v>
      </c>
      <c r="H37" s="47">
        <f>_xlfn.XLOOKUP(G37,'All Associates'!A:A,'All Associates'!B:B)</f>
        <v/>
      </c>
      <c r="I37" s="47">
        <f>_xlfn.XLOOKUP(G37,'All Associates'!A:A,'All Associates'!D:D)</f>
        <v/>
      </c>
      <c r="J37" s="11">
        <f>IF(G37&lt;&gt;"","Allocated","Available")</f>
        <v/>
      </c>
    </row>
    <row r="38">
      <c r="A38" s="6" t="inlineStr">
        <is>
          <t>T</t>
        </is>
      </c>
      <c r="B38" s="6" t="n">
        <v>6</v>
      </c>
      <c r="C38" s="6" t="inlineStr">
        <is>
          <t>B</t>
        </is>
      </c>
      <c r="D38" s="7" t="inlineStr">
        <is>
          <t>01</t>
        </is>
      </c>
      <c r="E38" s="7" t="n">
        <v>2</v>
      </c>
      <c r="F38" s="7">
        <f>A38&amp;B38&amp;"-"&amp;C38&amp;E38&amp;"-"&amp;D38</f>
        <v/>
      </c>
      <c r="G38" s="7" t="n">
        <v>445</v>
      </c>
      <c r="H38" s="47">
        <f>_xlfn.XLOOKUP(G38,'All Associates'!A:A,'All Associates'!B:B)</f>
        <v/>
      </c>
      <c r="I38" s="47">
        <f>_xlfn.XLOOKUP(G38,'All Associates'!A:A,'All Associates'!D:D)</f>
        <v/>
      </c>
      <c r="J38" s="11">
        <f>IF(G38&lt;&gt;"","Allocated","Available")</f>
        <v/>
      </c>
    </row>
    <row r="39">
      <c r="A39" s="6" t="inlineStr">
        <is>
          <t>T</t>
        </is>
      </c>
      <c r="B39" s="6" t="n">
        <v>6</v>
      </c>
      <c r="C39" s="6" t="inlineStr">
        <is>
          <t>B</t>
        </is>
      </c>
      <c r="D39" s="7" t="inlineStr">
        <is>
          <t>02</t>
        </is>
      </c>
      <c r="E39" s="7" t="n">
        <v>2</v>
      </c>
      <c r="F39" s="7">
        <f>A39&amp;B39&amp;"-"&amp;C39&amp;E39&amp;"-"&amp;D39</f>
        <v/>
      </c>
      <c r="G39" s="7" t="n">
        <v>1108</v>
      </c>
      <c r="H39" s="47">
        <f>_xlfn.XLOOKUP(G39,'All Associates'!A:A,'All Associates'!B:B)</f>
        <v/>
      </c>
      <c r="I39" s="47">
        <f>_xlfn.XLOOKUP(G39,'All Associates'!A:A,'All Associates'!D:D)</f>
        <v/>
      </c>
      <c r="J39" s="11">
        <f>IF(G39&lt;&gt;"","Allocated","Available")</f>
        <v/>
      </c>
    </row>
    <row r="40">
      <c r="A40" s="6" t="inlineStr">
        <is>
          <t>T</t>
        </is>
      </c>
      <c r="B40" s="6" t="n">
        <v>6</v>
      </c>
      <c r="C40" s="6" t="inlineStr">
        <is>
          <t>B</t>
        </is>
      </c>
      <c r="D40" s="7" t="inlineStr">
        <is>
          <t>03</t>
        </is>
      </c>
      <c r="E40" s="7" t="n">
        <v>2</v>
      </c>
      <c r="F40" s="7">
        <f>A40&amp;B40&amp;"-"&amp;C40&amp;E40&amp;"-"&amp;D40</f>
        <v/>
      </c>
      <c r="G40" s="1" t="n">
        <v>2024</v>
      </c>
      <c r="H40" s="47">
        <f>_xlfn.XLOOKUP(G40,'All Associates'!A:A,'All Associates'!B:B)</f>
        <v/>
      </c>
      <c r="I40" s="47">
        <f>_xlfn.XLOOKUP(G40,'All Associates'!A:A,'All Associates'!D:D)</f>
        <v/>
      </c>
      <c r="J40" s="11">
        <f>IF(G40&lt;&gt;"","Allocated","Available")</f>
        <v/>
      </c>
    </row>
    <row r="41">
      <c r="A41" s="6" t="inlineStr">
        <is>
          <t>T</t>
        </is>
      </c>
      <c r="B41" s="6" t="n">
        <v>6</v>
      </c>
      <c r="C41" s="6" t="inlineStr">
        <is>
          <t>B</t>
        </is>
      </c>
      <c r="D41" s="7" t="inlineStr">
        <is>
          <t>04</t>
        </is>
      </c>
      <c r="E41" s="7" t="n">
        <v>2</v>
      </c>
      <c r="F41" s="7">
        <f>A41&amp;B41&amp;"-"&amp;C41&amp;E41&amp;"-"&amp;D41</f>
        <v/>
      </c>
      <c r="G41" s="70" t="n">
        <v>907</v>
      </c>
      <c r="H41" s="47">
        <f>_xlfn.XLOOKUP(G41,'All Associates'!A:A,'All Associates'!B:B)</f>
        <v/>
      </c>
      <c r="I41" s="47">
        <f>_xlfn.XLOOKUP(G41,'All Associates'!A:A,'All Associates'!D:D)</f>
        <v/>
      </c>
      <c r="J41" s="11">
        <f>IF(G41&lt;&gt;"","Allocated","Available")</f>
        <v/>
      </c>
    </row>
    <row r="42">
      <c r="A42" s="6" t="inlineStr">
        <is>
          <t>T</t>
        </is>
      </c>
      <c r="B42" s="6" t="n">
        <v>6</v>
      </c>
      <c r="C42" s="6" t="inlineStr">
        <is>
          <t>B</t>
        </is>
      </c>
      <c r="D42" s="7" t="inlineStr">
        <is>
          <t>05</t>
        </is>
      </c>
      <c r="E42" s="7" t="n">
        <v>2</v>
      </c>
      <c r="F42" s="7">
        <f>A42&amp;B42&amp;"-"&amp;C42&amp;E42&amp;"-"&amp;D42</f>
        <v/>
      </c>
      <c r="G42" s="7" t="n"/>
      <c r="H42" s="47">
        <f>_xlfn.XLOOKUP(G42,'All Associates'!A:A,'All Associates'!B:B)</f>
        <v/>
      </c>
      <c r="I42" s="47">
        <f>_xlfn.XLOOKUP(G42,'All Associates'!A:A,'All Associates'!D:D)</f>
        <v/>
      </c>
      <c r="J42" s="11">
        <f>IF(G42&lt;&gt;"","Allocated","Available")</f>
        <v/>
      </c>
    </row>
    <row r="43">
      <c r="A43" s="6" t="inlineStr">
        <is>
          <t>T</t>
        </is>
      </c>
      <c r="B43" s="6" t="n">
        <v>6</v>
      </c>
      <c r="C43" s="6" t="inlineStr">
        <is>
          <t>B</t>
        </is>
      </c>
      <c r="D43" s="7" t="inlineStr">
        <is>
          <t>06</t>
        </is>
      </c>
      <c r="E43" s="7" t="n">
        <v>2</v>
      </c>
      <c r="F43" s="7">
        <f>A43&amp;B43&amp;"-"&amp;C43&amp;E43&amp;"-"&amp;D43</f>
        <v/>
      </c>
      <c r="G43" s="6" t="n">
        <v>1006</v>
      </c>
      <c r="H43" s="47">
        <f>_xlfn.XLOOKUP(G43,'All Associates'!A:A,'All Associates'!B:B)</f>
        <v/>
      </c>
      <c r="I43" s="47">
        <f>_xlfn.XLOOKUP(G43,'All Associates'!A:A,'All Associates'!D:D)</f>
        <v/>
      </c>
      <c r="J43" s="11">
        <f>IF(G43&lt;&gt;"","Allocated","Available")</f>
        <v/>
      </c>
    </row>
    <row r="44">
      <c r="A44" s="6" t="inlineStr">
        <is>
          <t>T</t>
        </is>
      </c>
      <c r="B44" s="6" t="n">
        <v>6</v>
      </c>
      <c r="C44" s="6" t="inlineStr">
        <is>
          <t>C</t>
        </is>
      </c>
      <c r="D44" s="7" t="inlineStr">
        <is>
          <t>01</t>
        </is>
      </c>
      <c r="E44" s="7" t="n">
        <v>1</v>
      </c>
      <c r="F44" s="7">
        <f>A44&amp;B44&amp;"-"&amp;C44&amp;E44&amp;"-"&amp;D44</f>
        <v/>
      </c>
      <c r="G44" s="7" t="n">
        <v>309</v>
      </c>
      <c r="H44" s="47">
        <f>_xlfn.XLOOKUP(G44,'All Associates'!A:A,'All Associates'!B:B)</f>
        <v/>
      </c>
      <c r="I44" s="47">
        <f>_xlfn.XLOOKUP(G44,'All Associates'!A:A,'All Associates'!D:D)</f>
        <v/>
      </c>
      <c r="J44" s="11">
        <f>IF(G44&lt;&gt;"","Allocated","Available")</f>
        <v/>
      </c>
      <c r="M44" s="58" t="n"/>
    </row>
    <row r="45">
      <c r="A45" s="6" t="inlineStr">
        <is>
          <t>T</t>
        </is>
      </c>
      <c r="B45" s="6" t="n">
        <v>6</v>
      </c>
      <c r="C45" s="6" t="inlineStr">
        <is>
          <t>C</t>
        </is>
      </c>
      <c r="D45" s="7" t="inlineStr">
        <is>
          <t>02</t>
        </is>
      </c>
      <c r="E45" s="7" t="n">
        <v>1</v>
      </c>
      <c r="F45" s="7">
        <f>A45&amp;B45&amp;"-"&amp;C45&amp;E45&amp;"-"&amp;D45</f>
        <v/>
      </c>
      <c r="G45" s="7" t="n">
        <v>730</v>
      </c>
      <c r="H45" s="47">
        <f>_xlfn.XLOOKUP(G45,'All Associates'!A:A,'All Associates'!B:B)</f>
        <v/>
      </c>
      <c r="I45" s="47">
        <f>_xlfn.XLOOKUP(G45,'All Associates'!A:A,'All Associates'!D:D)</f>
        <v/>
      </c>
      <c r="J45" s="11">
        <f>IF(G45&lt;&gt;"","Allocated","Available")</f>
        <v/>
      </c>
    </row>
    <row r="46">
      <c r="A46" s="6" t="inlineStr">
        <is>
          <t>T</t>
        </is>
      </c>
      <c r="B46" s="6" t="n">
        <v>6</v>
      </c>
      <c r="C46" s="6" t="inlineStr">
        <is>
          <t>C</t>
        </is>
      </c>
      <c r="D46" s="7" t="inlineStr">
        <is>
          <t>03</t>
        </is>
      </c>
      <c r="E46" s="7" t="n">
        <v>1</v>
      </c>
      <c r="F46" s="7">
        <f>A46&amp;B46&amp;"-"&amp;C46&amp;E46&amp;"-"&amp;D46</f>
        <v/>
      </c>
      <c r="G46" s="7" t="n">
        <v>718</v>
      </c>
      <c r="H46" s="47">
        <f>_xlfn.XLOOKUP(G46,'All Associates'!A:A,'All Associates'!B:B)</f>
        <v/>
      </c>
      <c r="I46" s="47">
        <f>_xlfn.XLOOKUP(G46,'All Associates'!A:A,'All Associates'!D:D)</f>
        <v/>
      </c>
      <c r="J46" s="11">
        <f>IF(G46&lt;&gt;"","Allocated","Available")</f>
        <v/>
      </c>
    </row>
    <row r="47">
      <c r="A47" s="6" t="inlineStr">
        <is>
          <t>T</t>
        </is>
      </c>
      <c r="B47" s="6" t="n">
        <v>6</v>
      </c>
      <c r="C47" s="6" t="inlineStr">
        <is>
          <t>C</t>
        </is>
      </c>
      <c r="D47" s="7" t="inlineStr">
        <is>
          <t>04</t>
        </is>
      </c>
      <c r="E47" s="7" t="n">
        <v>1</v>
      </c>
      <c r="F47" s="7">
        <f>A47&amp;B47&amp;"-"&amp;C47&amp;E47&amp;"-"&amp;D47</f>
        <v/>
      </c>
      <c r="G47" s="7" t="n">
        <v>1063</v>
      </c>
      <c r="H47" s="47">
        <f>_xlfn.XLOOKUP(G47,'All Associates'!A:A,'All Associates'!B:B)</f>
        <v/>
      </c>
      <c r="I47" s="47">
        <f>_xlfn.XLOOKUP(G47,'All Associates'!A:A,'All Associates'!D:D)</f>
        <v/>
      </c>
      <c r="J47" s="11">
        <f>IF(G47&lt;&gt;"","Allocated","Available")</f>
        <v/>
      </c>
    </row>
    <row r="48">
      <c r="A48" s="6" t="inlineStr">
        <is>
          <t>T</t>
        </is>
      </c>
      <c r="B48" s="6" t="n">
        <v>6</v>
      </c>
      <c r="C48" s="6" t="inlineStr">
        <is>
          <t>C</t>
        </is>
      </c>
      <c r="D48" s="7" t="inlineStr">
        <is>
          <t>05</t>
        </is>
      </c>
      <c r="E48" s="7" t="n">
        <v>1</v>
      </c>
      <c r="F48" s="7">
        <f>A48&amp;B48&amp;"-"&amp;C48&amp;E48&amp;"-"&amp;D48</f>
        <v/>
      </c>
      <c r="G48" s="7" t="n">
        <v>1218</v>
      </c>
      <c r="H48" s="47">
        <f>_xlfn.XLOOKUP(G48,'All Associates'!A:A,'All Associates'!B:B)</f>
        <v/>
      </c>
      <c r="I48" s="47">
        <f>_xlfn.XLOOKUP(G48,'All Associates'!A:A,'All Associates'!D:D)</f>
        <v/>
      </c>
      <c r="J48" s="11">
        <f>IF(G48&lt;&gt;"","Allocated","Available")</f>
        <v/>
      </c>
    </row>
    <row r="49">
      <c r="A49" s="6" t="inlineStr">
        <is>
          <t>T</t>
        </is>
      </c>
      <c r="B49" s="6" t="n">
        <v>6</v>
      </c>
      <c r="C49" s="6" t="inlineStr">
        <is>
          <t>C</t>
        </is>
      </c>
      <c r="D49" s="7" t="inlineStr">
        <is>
          <t>06</t>
        </is>
      </c>
      <c r="E49" s="7" t="n">
        <v>1</v>
      </c>
      <c r="F49" s="7">
        <f>A49&amp;B49&amp;"-"&amp;C49&amp;E49&amp;"-"&amp;D49</f>
        <v/>
      </c>
      <c r="G49" s="7" t="n">
        <v>1221</v>
      </c>
      <c r="H49" s="47">
        <f>_xlfn.XLOOKUP(G49,'All Associates'!A:A,'All Associates'!B:B)</f>
        <v/>
      </c>
      <c r="I49" s="47">
        <f>_xlfn.XLOOKUP(G49,'All Associates'!A:A,'All Associates'!D:D)</f>
        <v/>
      </c>
      <c r="J49" s="11">
        <f>IF(G49&lt;&gt;"","Allocated","Available")</f>
        <v/>
      </c>
    </row>
    <row r="50">
      <c r="A50" s="40" t="inlineStr">
        <is>
          <t>T</t>
        </is>
      </c>
      <c r="B50" s="40" t="n">
        <v>6</v>
      </c>
      <c r="C50" s="40" t="inlineStr">
        <is>
          <t>C</t>
        </is>
      </c>
      <c r="D50" s="41" t="inlineStr">
        <is>
          <t>07</t>
        </is>
      </c>
      <c r="E50" s="41" t="n">
        <v>1</v>
      </c>
      <c r="F50" s="41">
        <f>A50&amp;B50&amp;"-"&amp;C50&amp;E50&amp;"-"&amp;D50</f>
        <v/>
      </c>
      <c r="G50" s="7" t="n">
        <v>1223</v>
      </c>
      <c r="H50" s="76">
        <f>_xlfn.XLOOKUP(G50,'All Associates'!A:A,'All Associates'!B:B)</f>
        <v/>
      </c>
      <c r="I50" s="76">
        <f>_xlfn.XLOOKUP(G50,'All Associates'!A:A,'All Associates'!D:D)</f>
        <v/>
      </c>
      <c r="J50" s="77">
        <f>IF(G50&lt;&gt;"","Allocated","Available")</f>
        <v/>
      </c>
    </row>
    <row r="51">
      <c r="A51" s="6" t="inlineStr">
        <is>
          <t>T</t>
        </is>
      </c>
      <c r="B51" s="6" t="n">
        <v>6</v>
      </c>
      <c r="C51" s="6" t="inlineStr">
        <is>
          <t>C</t>
        </is>
      </c>
      <c r="D51" s="7" t="inlineStr">
        <is>
          <t>01</t>
        </is>
      </c>
      <c r="E51" s="7" t="n">
        <v>2</v>
      </c>
      <c r="F51" s="7">
        <f>A51&amp;B51&amp;"-"&amp;C51&amp;E51&amp;"-"&amp;D51</f>
        <v/>
      </c>
      <c r="G51" s="7" t="n">
        <v>317</v>
      </c>
      <c r="H51" s="47">
        <f>_xlfn.XLOOKUP(G51,'All Associates'!A:A,'All Associates'!B:B)</f>
        <v/>
      </c>
      <c r="I51" s="47">
        <f>_xlfn.XLOOKUP(G51,'All Associates'!A:A,'All Associates'!D:D)</f>
        <v/>
      </c>
      <c r="J51" s="11">
        <f>IF(G51&lt;&gt;"","Allocated","Available")</f>
        <v/>
      </c>
    </row>
    <row r="52">
      <c r="A52" s="6" t="inlineStr">
        <is>
          <t>T</t>
        </is>
      </c>
      <c r="B52" s="6" t="n">
        <v>6</v>
      </c>
      <c r="C52" s="6" t="inlineStr">
        <is>
          <t>C</t>
        </is>
      </c>
      <c r="D52" s="7" t="inlineStr">
        <is>
          <t>02</t>
        </is>
      </c>
      <c r="E52" s="7" t="n">
        <v>2</v>
      </c>
      <c r="F52" s="7">
        <f>A52&amp;B52&amp;"-"&amp;C52&amp;E52&amp;"-"&amp;D52</f>
        <v/>
      </c>
      <c r="G52" s="7" t="n">
        <v>1186</v>
      </c>
      <c r="H52" s="47">
        <f>_xlfn.XLOOKUP(G52,'All Associates'!A:A,'All Associates'!B:B)</f>
        <v/>
      </c>
      <c r="I52" s="47">
        <f>_xlfn.XLOOKUP(G52,'All Associates'!A:A,'All Associates'!D:D)</f>
        <v/>
      </c>
      <c r="J52" s="11">
        <f>IF(G52&lt;&gt;"","Allocated","Available")</f>
        <v/>
      </c>
    </row>
    <row r="53">
      <c r="A53" s="6" t="inlineStr">
        <is>
          <t>T</t>
        </is>
      </c>
      <c r="B53" s="6" t="n">
        <v>6</v>
      </c>
      <c r="C53" s="6" t="inlineStr">
        <is>
          <t>C</t>
        </is>
      </c>
      <c r="D53" s="7" t="inlineStr">
        <is>
          <t>03</t>
        </is>
      </c>
      <c r="E53" s="7" t="n">
        <v>2</v>
      </c>
      <c r="F53" s="7">
        <f>A53&amp;B53&amp;"-"&amp;C53&amp;E53&amp;"-"&amp;D53</f>
        <v/>
      </c>
      <c r="G53" s="6" t="n">
        <v>826</v>
      </c>
      <c r="H53" s="58">
        <f>_xlfn.XLOOKUP(G53,'All Associates'!A:A,'All Associates'!B:B)</f>
        <v/>
      </c>
      <c r="I53" s="47">
        <f>_xlfn.XLOOKUP(G53,'All Associates'!A:A,'All Associates'!D:D)</f>
        <v/>
      </c>
      <c r="J53" s="11">
        <f>IF(G53&lt;&gt;"","Allocated","Available")</f>
        <v/>
      </c>
    </row>
    <row r="54">
      <c r="A54" s="6" t="inlineStr">
        <is>
          <t>T</t>
        </is>
      </c>
      <c r="B54" s="6" t="n">
        <v>6</v>
      </c>
      <c r="C54" s="6" t="inlineStr">
        <is>
          <t>C</t>
        </is>
      </c>
      <c r="D54" s="7" t="inlineStr">
        <is>
          <t>04</t>
        </is>
      </c>
      <c r="E54" s="7" t="n">
        <v>2</v>
      </c>
      <c r="F54" s="7">
        <f>A54&amp;B54&amp;"-"&amp;C54&amp;E54&amp;"-"&amp;D54</f>
        <v/>
      </c>
      <c r="G54" s="7" t="n">
        <v>571</v>
      </c>
      <c r="H54" s="47">
        <f>_xlfn.XLOOKUP(G54,'All Associates'!A:A,'All Associates'!B:B)</f>
        <v/>
      </c>
      <c r="I54" s="47">
        <f>_xlfn.XLOOKUP(G54,'All Associates'!A:A,'All Associates'!D:D)</f>
        <v/>
      </c>
      <c r="J54" s="11">
        <f>IF(G54&lt;&gt;"","Allocated","Available")</f>
        <v/>
      </c>
    </row>
    <row r="55">
      <c r="A55" s="6" t="inlineStr">
        <is>
          <t>T</t>
        </is>
      </c>
      <c r="B55" s="6" t="n">
        <v>6</v>
      </c>
      <c r="C55" s="6" t="inlineStr">
        <is>
          <t>C</t>
        </is>
      </c>
      <c r="D55" s="7" t="inlineStr">
        <is>
          <t>05</t>
        </is>
      </c>
      <c r="E55" s="7" t="n">
        <v>2</v>
      </c>
      <c r="F55" s="7">
        <f>A55&amp;B55&amp;"-"&amp;C55&amp;E55&amp;"-"&amp;D55</f>
        <v/>
      </c>
      <c r="G55" s="6" t="n">
        <v>657</v>
      </c>
      <c r="H55" s="47">
        <f>_xlfn.XLOOKUP(G55,'All Associates'!A:A,'All Associates'!B:B)</f>
        <v/>
      </c>
      <c r="I55" s="47">
        <f>_xlfn.XLOOKUP(G55,'All Associates'!A:A,'All Associates'!D:D)</f>
        <v/>
      </c>
      <c r="J55" s="11">
        <f>IF(G55&lt;&gt;"","Allocated","Available")</f>
        <v/>
      </c>
    </row>
    <row r="56">
      <c r="A56" s="6" t="inlineStr">
        <is>
          <t>T</t>
        </is>
      </c>
      <c r="B56" s="6" t="n">
        <v>6</v>
      </c>
      <c r="C56" s="6" t="inlineStr">
        <is>
          <t>C</t>
        </is>
      </c>
      <c r="D56" s="7" t="inlineStr">
        <is>
          <t>06</t>
        </is>
      </c>
      <c r="E56" s="6" t="n">
        <v>2</v>
      </c>
      <c r="F56" s="7">
        <f>A56&amp;B56&amp;"-"&amp;C56&amp;E56&amp;"-"&amp;D56</f>
        <v/>
      </c>
      <c r="G56" s="6" t="n">
        <v>1064</v>
      </c>
      <c r="H56" s="47">
        <f>_xlfn.XLOOKUP(G56,'All Associates'!A:A,'All Associates'!B:B)</f>
        <v/>
      </c>
      <c r="I56" s="47">
        <f>_xlfn.XLOOKUP(G56,'All Associates'!A:A,'All Associates'!D:D)</f>
        <v/>
      </c>
      <c r="J56" s="11">
        <f>IF(G56&lt;&gt;"","Allocated","Available")</f>
        <v/>
      </c>
    </row>
    <row r="57">
      <c r="A57" s="6" t="inlineStr">
        <is>
          <t>T</t>
        </is>
      </c>
      <c r="B57" s="6" t="n">
        <v>6</v>
      </c>
      <c r="C57" s="6" t="inlineStr">
        <is>
          <t>C</t>
        </is>
      </c>
      <c r="D57" s="7" t="inlineStr">
        <is>
          <t>01</t>
        </is>
      </c>
      <c r="E57" s="7" t="n">
        <v>3</v>
      </c>
      <c r="F57" s="7">
        <f>A57&amp;B57&amp;"-"&amp;C57&amp;E57&amp;"-"&amp;D57</f>
        <v/>
      </c>
      <c r="G57" s="7" t="n">
        <v>1094</v>
      </c>
      <c r="H57" s="47">
        <f>_xlfn.XLOOKUP(G57,'All Associates'!A:A,'All Associates'!B:B)</f>
        <v/>
      </c>
      <c r="I57" s="47">
        <f>_xlfn.XLOOKUP(G57,'All Associates'!A:A,'All Associates'!D:D)</f>
        <v/>
      </c>
      <c r="J57" s="11">
        <f>IF(G57&lt;&gt;"","Allocated","Available")</f>
        <v/>
      </c>
    </row>
    <row r="58">
      <c r="A58" s="6" t="inlineStr">
        <is>
          <t>T</t>
        </is>
      </c>
      <c r="B58" s="6" t="n">
        <v>6</v>
      </c>
      <c r="C58" s="6" t="inlineStr">
        <is>
          <t>C</t>
        </is>
      </c>
      <c r="D58" s="7" t="inlineStr">
        <is>
          <t>02</t>
        </is>
      </c>
      <c r="E58" s="7" t="n">
        <v>3</v>
      </c>
      <c r="F58" s="7">
        <f>A58&amp;B58&amp;"-"&amp;C58&amp;E58&amp;"-"&amp;D58</f>
        <v/>
      </c>
      <c r="G58" s="7" t="n">
        <v>314</v>
      </c>
      <c r="H58" s="47">
        <f>_xlfn.XLOOKUP(G58,'All Associates'!A:A,'All Associates'!B:B)</f>
        <v/>
      </c>
      <c r="I58" s="47">
        <f>_xlfn.XLOOKUP(G58,'All Associates'!A:A,'All Associates'!D:D)</f>
        <v/>
      </c>
      <c r="J58" s="11">
        <f>IF(G58&lt;&gt;"","Allocated","Available")</f>
        <v/>
      </c>
    </row>
    <row r="59">
      <c r="A59" s="6" t="inlineStr">
        <is>
          <t>T</t>
        </is>
      </c>
      <c r="B59" s="6" t="n">
        <v>6</v>
      </c>
      <c r="C59" s="6" t="inlineStr">
        <is>
          <t>C</t>
        </is>
      </c>
      <c r="D59" s="7" t="inlineStr">
        <is>
          <t>03</t>
        </is>
      </c>
      <c r="E59" s="7" t="n">
        <v>3</v>
      </c>
      <c r="F59" s="7">
        <f>A59&amp;B59&amp;"-"&amp;C59&amp;E59&amp;"-"&amp;D59</f>
        <v/>
      </c>
      <c r="G59" s="7" t="n">
        <v>1217</v>
      </c>
      <c r="H59" s="47">
        <f>_xlfn.XLOOKUP(G59,'All Associates'!A:A,'All Associates'!B:B)</f>
        <v/>
      </c>
      <c r="I59" s="47">
        <f>_xlfn.XLOOKUP(G59,'All Associates'!A:A,'All Associates'!D:D)</f>
        <v/>
      </c>
      <c r="J59" s="11">
        <f>IF(G59&lt;&gt;"","Allocated","Available")</f>
        <v/>
      </c>
    </row>
    <row r="60">
      <c r="A60" s="6" t="inlineStr">
        <is>
          <t>T</t>
        </is>
      </c>
      <c r="B60" s="6" t="n">
        <v>6</v>
      </c>
      <c r="C60" s="6" t="inlineStr">
        <is>
          <t>C</t>
        </is>
      </c>
      <c r="D60" s="7" t="inlineStr">
        <is>
          <t>04</t>
        </is>
      </c>
      <c r="E60" s="7" t="n">
        <v>3</v>
      </c>
      <c r="F60" s="7">
        <f>A60&amp;B60&amp;"-"&amp;C60&amp;E60&amp;"-"&amp;D60</f>
        <v/>
      </c>
      <c r="G60" s="7" t="n">
        <v>346</v>
      </c>
      <c r="H60" s="47">
        <f>_xlfn.XLOOKUP(G60,'All Associates'!A:A,'All Associates'!B:B)</f>
        <v/>
      </c>
      <c r="I60" s="47">
        <f>_xlfn.XLOOKUP(G60,'All Associates'!A:A,'All Associates'!D:D)</f>
        <v/>
      </c>
      <c r="J60" s="11">
        <f>IF(G60&lt;&gt;"","Allocated","Available")</f>
        <v/>
      </c>
    </row>
    <row r="61">
      <c r="A61" s="6" t="inlineStr">
        <is>
          <t>T</t>
        </is>
      </c>
      <c r="B61" s="6" t="n">
        <v>6</v>
      </c>
      <c r="C61" s="6" t="inlineStr">
        <is>
          <t>C</t>
        </is>
      </c>
      <c r="D61" s="7" t="inlineStr">
        <is>
          <t>05</t>
        </is>
      </c>
      <c r="E61" s="7" t="n">
        <v>3</v>
      </c>
      <c r="F61" s="7">
        <f>A61&amp;B61&amp;"-"&amp;C61&amp;E61&amp;"-"&amp;D61</f>
        <v/>
      </c>
      <c r="G61" s="7" t="n">
        <v>1079</v>
      </c>
      <c r="H61" s="47">
        <f>_xlfn.XLOOKUP(G61,'All Associates'!A:A,'All Associates'!B:B)</f>
        <v/>
      </c>
      <c r="I61" s="47">
        <f>_xlfn.XLOOKUP(G61,'All Associates'!A:A,'All Associates'!D:D)</f>
        <v/>
      </c>
      <c r="J61" s="11">
        <f>IF(G61&lt;&gt;"","Allocated","Available")</f>
        <v/>
      </c>
    </row>
    <row r="62">
      <c r="A62" s="6" t="inlineStr">
        <is>
          <t>T</t>
        </is>
      </c>
      <c r="B62" s="6" t="n">
        <v>6</v>
      </c>
      <c r="C62" s="6" t="inlineStr">
        <is>
          <t>C</t>
        </is>
      </c>
      <c r="D62" s="7" t="inlineStr">
        <is>
          <t>06</t>
        </is>
      </c>
      <c r="E62" s="7" t="n">
        <v>3</v>
      </c>
      <c r="F62" s="7">
        <f>A62&amp;B62&amp;"-"&amp;C62&amp;E62&amp;"-"&amp;D62</f>
        <v/>
      </c>
      <c r="G62" s="7" t="n">
        <v>2011</v>
      </c>
      <c r="H62" s="47">
        <f>_xlfn.XLOOKUP(G62,'All Associates'!A:A,'All Associates'!B:B)</f>
        <v/>
      </c>
      <c r="I62" s="47">
        <f>_xlfn.XLOOKUP(G62,'All Associates'!A:A,'All Associates'!D:D)</f>
        <v/>
      </c>
      <c r="J62" s="11">
        <f>IF(G62&lt;&gt;"","Allocated","Available")</f>
        <v/>
      </c>
    </row>
    <row r="63">
      <c r="A63" s="6" t="inlineStr">
        <is>
          <t>T</t>
        </is>
      </c>
      <c r="B63" s="6" t="n">
        <v>6</v>
      </c>
      <c r="C63" s="6" t="inlineStr">
        <is>
          <t>C</t>
        </is>
      </c>
      <c r="D63" s="7" t="inlineStr">
        <is>
          <t>01</t>
        </is>
      </c>
      <c r="E63" s="7" t="n">
        <v>4</v>
      </c>
      <c r="F63" s="7">
        <f>A63&amp;B63&amp;"-"&amp;C63&amp;E63&amp;"-"&amp;D63</f>
        <v/>
      </c>
      <c r="G63" s="7" t="n">
        <v>864</v>
      </c>
      <c r="H63" s="47">
        <f>_xlfn.XLOOKUP(G63,'All Associates'!A:A,'All Associates'!B:B)</f>
        <v/>
      </c>
      <c r="I63" s="47">
        <f>_xlfn.XLOOKUP(G63,'All Associates'!A:A,'All Associates'!D:D)</f>
        <v/>
      </c>
      <c r="J63" s="11">
        <f>IF(G63&lt;&gt;"","Allocated","Available")</f>
        <v/>
      </c>
    </row>
    <row r="64">
      <c r="A64" s="6" t="inlineStr">
        <is>
          <t>T</t>
        </is>
      </c>
      <c r="B64" s="6" t="n">
        <v>6</v>
      </c>
      <c r="C64" s="6" t="inlineStr">
        <is>
          <t>C</t>
        </is>
      </c>
      <c r="D64" s="7" t="inlineStr">
        <is>
          <t>02</t>
        </is>
      </c>
      <c r="E64" s="7" t="n">
        <v>4</v>
      </c>
      <c r="F64" s="7">
        <f>A64&amp;B64&amp;"-"&amp;C64&amp;E64&amp;"-"&amp;D64</f>
        <v/>
      </c>
      <c r="G64" s="7" t="n">
        <v>768</v>
      </c>
      <c r="H64" s="47">
        <f>_xlfn.XLOOKUP(G64,'All Associates'!A:A,'All Associates'!B:B)</f>
        <v/>
      </c>
      <c r="I64" s="47">
        <f>_xlfn.XLOOKUP(G64,'All Associates'!A:A,'All Associates'!D:D)</f>
        <v/>
      </c>
      <c r="J64" s="11">
        <f>IF(G64&lt;&gt;"","Allocated","Available")</f>
        <v/>
      </c>
    </row>
    <row r="65">
      <c r="A65" s="6" t="inlineStr">
        <is>
          <t>T</t>
        </is>
      </c>
      <c r="B65" s="6" t="n">
        <v>6</v>
      </c>
      <c r="C65" s="6" t="inlineStr">
        <is>
          <t>C</t>
        </is>
      </c>
      <c r="D65" s="7" t="inlineStr">
        <is>
          <t>03</t>
        </is>
      </c>
      <c r="E65" s="7" t="n">
        <v>4</v>
      </c>
      <c r="F65" s="7">
        <f>A65&amp;B65&amp;"-"&amp;C65&amp;E65&amp;"-"&amp;D65</f>
        <v/>
      </c>
      <c r="G65" s="7" t="n">
        <v>1008</v>
      </c>
      <c r="H65" s="47">
        <f>_xlfn.XLOOKUP(G65,'All Associates'!A:A,'All Associates'!B:B)</f>
        <v/>
      </c>
      <c r="I65" s="47">
        <f>_xlfn.XLOOKUP(G65,'All Associates'!A:A,'All Associates'!D:D)</f>
        <v/>
      </c>
      <c r="J65" s="11">
        <f>IF(G65&lt;&gt;"","Allocated","Available")</f>
        <v/>
      </c>
    </row>
    <row r="66">
      <c r="A66" s="6" t="inlineStr">
        <is>
          <t>T</t>
        </is>
      </c>
      <c r="B66" s="6" t="n">
        <v>6</v>
      </c>
      <c r="C66" s="6" t="inlineStr">
        <is>
          <t>C</t>
        </is>
      </c>
      <c r="D66" s="7" t="inlineStr">
        <is>
          <t>04</t>
        </is>
      </c>
      <c r="E66" s="7" t="n">
        <v>4</v>
      </c>
      <c r="F66" s="7">
        <f>A66&amp;B66&amp;"-"&amp;C66&amp;E66&amp;"-"&amp;D66</f>
        <v/>
      </c>
      <c r="G66" s="7" t="n">
        <v>671</v>
      </c>
      <c r="H66" s="47">
        <f>_xlfn.XLOOKUP(G66,'All Associates'!A:A,'All Associates'!B:B)</f>
        <v/>
      </c>
      <c r="I66" s="47">
        <f>_xlfn.XLOOKUP(G66,'All Associates'!A:A,'All Associates'!D:D)</f>
        <v/>
      </c>
      <c r="J66" s="11">
        <f>IF(G66&lt;&gt;"","Allocated","Available")</f>
        <v/>
      </c>
    </row>
    <row r="67">
      <c r="A67" s="6" t="inlineStr">
        <is>
          <t>T</t>
        </is>
      </c>
      <c r="B67" s="6" t="n">
        <v>6</v>
      </c>
      <c r="C67" s="6" t="inlineStr">
        <is>
          <t>C</t>
        </is>
      </c>
      <c r="D67" s="7" t="inlineStr">
        <is>
          <t>05</t>
        </is>
      </c>
      <c r="E67" s="7" t="n">
        <v>4</v>
      </c>
      <c r="F67" s="7">
        <f>A67&amp;B67&amp;"-"&amp;C67&amp;E67&amp;"-"&amp;D67</f>
        <v/>
      </c>
      <c r="G67" s="7" t="n">
        <v>1247</v>
      </c>
      <c r="H67" s="47">
        <f>_xlfn.XLOOKUP(G67,'All Associates'!A:A,'All Associates'!B:B)</f>
        <v/>
      </c>
      <c r="I67" s="47">
        <f>_xlfn.XLOOKUP(G67,'All Associates'!A:A,'All Associates'!D:D)</f>
        <v/>
      </c>
      <c r="J67" s="11">
        <f>IF(G67&lt;&gt;"","Allocated","Available")</f>
        <v/>
      </c>
    </row>
    <row r="68">
      <c r="A68" s="6" t="inlineStr">
        <is>
          <t>T</t>
        </is>
      </c>
      <c r="B68" s="6" t="n">
        <v>6</v>
      </c>
      <c r="C68" s="6" t="inlineStr">
        <is>
          <t>C</t>
        </is>
      </c>
      <c r="D68" s="7" t="inlineStr">
        <is>
          <t>06</t>
        </is>
      </c>
      <c r="E68" s="7" t="n">
        <v>4</v>
      </c>
      <c r="F68" s="7">
        <f>A68&amp;B68&amp;"-"&amp;C68&amp;E68&amp;"-"&amp;D68</f>
        <v/>
      </c>
      <c r="G68" s="6" t="n">
        <v>938</v>
      </c>
      <c r="H68" s="47">
        <f>_xlfn.XLOOKUP(G68,'All Associates'!A:A,'All Associates'!B:B)</f>
        <v/>
      </c>
      <c r="I68" s="47">
        <f>_xlfn.XLOOKUP(G68,'All Associates'!A:A,'All Associates'!D:D)</f>
        <v/>
      </c>
      <c r="J68" s="11">
        <f>IF(G68&lt;&gt;"","Allocated","Available")</f>
        <v/>
      </c>
    </row>
    <row r="69">
      <c r="A69" s="6" t="inlineStr">
        <is>
          <t>T</t>
        </is>
      </c>
      <c r="B69" s="6" t="n">
        <v>6</v>
      </c>
      <c r="C69" s="6" t="inlineStr">
        <is>
          <t>C</t>
        </is>
      </c>
      <c r="D69" s="7" t="inlineStr">
        <is>
          <t>01</t>
        </is>
      </c>
      <c r="E69" s="7" t="n">
        <v>5</v>
      </c>
      <c r="F69" s="7">
        <f>A69&amp;B69&amp;"-"&amp;C69&amp;E69&amp;"-"&amp;D69</f>
        <v/>
      </c>
      <c r="G69" s="7" t="n">
        <v>1116</v>
      </c>
      <c r="H69" s="47">
        <f>_xlfn.XLOOKUP(G69,'All Associates'!A:A,'All Associates'!B:B)</f>
        <v/>
      </c>
      <c r="I69" s="47">
        <f>_xlfn.XLOOKUP(G69,'All Associates'!A:A,'All Associates'!D:D)</f>
        <v/>
      </c>
      <c r="J69" s="11">
        <f>IF(G69&lt;&gt;"","Allocated","Available")</f>
        <v/>
      </c>
    </row>
    <row r="70">
      <c r="A70" s="6" t="inlineStr">
        <is>
          <t>T</t>
        </is>
      </c>
      <c r="B70" s="6" t="n">
        <v>6</v>
      </c>
      <c r="C70" s="6" t="inlineStr">
        <is>
          <t>C</t>
        </is>
      </c>
      <c r="D70" s="7" t="inlineStr">
        <is>
          <t>02</t>
        </is>
      </c>
      <c r="E70" s="7" t="n">
        <v>5</v>
      </c>
      <c r="F70" s="7">
        <f>A70&amp;B70&amp;"-"&amp;C70&amp;E70&amp;"-"&amp;D70</f>
        <v/>
      </c>
      <c r="G70" s="7" t="n">
        <v>970</v>
      </c>
      <c r="H70" s="47">
        <f>_xlfn.XLOOKUP(G70,'All Associates'!A:A,'All Associates'!B:B)</f>
        <v/>
      </c>
      <c r="I70" s="47">
        <f>_xlfn.XLOOKUP(G70,'All Associates'!A:A,'All Associates'!D:D)</f>
        <v/>
      </c>
      <c r="J70" s="11">
        <f>IF(G70&lt;&gt;"","Allocated","Available")</f>
        <v/>
      </c>
    </row>
    <row r="71">
      <c r="A71" s="6" t="inlineStr">
        <is>
          <t>T</t>
        </is>
      </c>
      <c r="B71" s="6" t="n">
        <v>6</v>
      </c>
      <c r="C71" s="6" t="inlineStr">
        <is>
          <t>C</t>
        </is>
      </c>
      <c r="D71" s="7" t="inlineStr">
        <is>
          <t>03</t>
        </is>
      </c>
      <c r="E71" s="7" t="n">
        <v>5</v>
      </c>
      <c r="F71" s="7">
        <f>A71&amp;B71&amp;"-"&amp;C71&amp;E71&amp;"-"&amp;D71</f>
        <v/>
      </c>
      <c r="G71" s="6" t="n">
        <v>1153</v>
      </c>
      <c r="H71" s="47">
        <f>_xlfn.XLOOKUP(G71,'All Associates'!A:A,'All Associates'!B:B)</f>
        <v/>
      </c>
      <c r="I71" s="47">
        <f>_xlfn.XLOOKUP(G71,'All Associates'!A:A,'All Associates'!D:D)</f>
        <v/>
      </c>
      <c r="J71" s="11">
        <f>IF(G71&lt;&gt;"","Allocated","Available")</f>
        <v/>
      </c>
    </row>
    <row r="72">
      <c r="A72" s="6" t="inlineStr">
        <is>
          <t>T</t>
        </is>
      </c>
      <c r="B72" s="6" t="n">
        <v>6</v>
      </c>
      <c r="C72" s="6" t="inlineStr">
        <is>
          <t>C</t>
        </is>
      </c>
      <c r="D72" s="7" t="inlineStr">
        <is>
          <t>04</t>
        </is>
      </c>
      <c r="E72" s="7" t="n">
        <v>5</v>
      </c>
      <c r="F72" s="7">
        <f>A72&amp;B72&amp;"-"&amp;C72&amp;E72&amp;"-"&amp;D72</f>
        <v/>
      </c>
      <c r="G72" s="6" t="n">
        <v>762</v>
      </c>
      <c r="H72" s="47">
        <f>_xlfn.XLOOKUP(G72,'All Associates'!A:A,'All Associates'!B:B)</f>
        <v/>
      </c>
      <c r="I72" s="47">
        <f>_xlfn.XLOOKUP(G72,'All Associates'!A:A,'All Associates'!D:D)</f>
        <v/>
      </c>
      <c r="J72" s="11">
        <f>IF(G72&lt;&gt;"","Allocated","Available")</f>
        <v/>
      </c>
    </row>
    <row r="73">
      <c r="A73" s="6" t="inlineStr">
        <is>
          <t>T</t>
        </is>
      </c>
      <c r="B73" s="6" t="n">
        <v>6</v>
      </c>
      <c r="C73" s="6" t="inlineStr">
        <is>
          <t>C</t>
        </is>
      </c>
      <c r="D73" s="7" t="inlineStr">
        <is>
          <t>05</t>
        </is>
      </c>
      <c r="E73" s="7" t="n">
        <v>5</v>
      </c>
      <c r="F73" s="7">
        <f>A73&amp;B73&amp;"-"&amp;C73&amp;E73&amp;"-"&amp;D73</f>
        <v/>
      </c>
      <c r="G73" s="7" t="n">
        <v>902</v>
      </c>
      <c r="H73" s="47">
        <f>_xlfn.XLOOKUP(G73,'All Associates'!A:A,'All Associates'!B:B)</f>
        <v/>
      </c>
      <c r="I73" s="47">
        <f>_xlfn.XLOOKUP(G73,'All Associates'!A:A,'All Associates'!D:D)</f>
        <v/>
      </c>
      <c r="J73" s="11">
        <f>IF(G73&lt;&gt;"","Allocated","Available")</f>
        <v/>
      </c>
    </row>
    <row r="74">
      <c r="A74" s="6" t="inlineStr">
        <is>
          <t>T</t>
        </is>
      </c>
      <c r="B74" s="6" t="n">
        <v>6</v>
      </c>
      <c r="C74" s="6" t="inlineStr">
        <is>
          <t>C</t>
        </is>
      </c>
      <c r="D74" s="7" t="inlineStr">
        <is>
          <t>06</t>
        </is>
      </c>
      <c r="E74" s="7" t="n">
        <v>5</v>
      </c>
      <c r="F74" s="7">
        <f>A74&amp;B74&amp;"-"&amp;C74&amp;E74&amp;"-"&amp;D74</f>
        <v/>
      </c>
      <c r="G74" s="7" t="n">
        <v>753</v>
      </c>
      <c r="H74" s="47">
        <f>_xlfn.XLOOKUP(G74,'All Associates'!A:A,'All Associates'!B:B)</f>
        <v/>
      </c>
      <c r="I74" s="47">
        <f>_xlfn.XLOOKUP(G74,'All Associates'!A:A,'All Associates'!D:D)</f>
        <v/>
      </c>
      <c r="J74" s="11">
        <f>IF(G74&lt;&gt;"","Allocated","Available")</f>
        <v/>
      </c>
    </row>
    <row r="75">
      <c r="A75" s="6" t="inlineStr">
        <is>
          <t>T</t>
        </is>
      </c>
      <c r="B75" s="6" t="n">
        <v>6</v>
      </c>
      <c r="C75" s="6" t="inlineStr">
        <is>
          <t>C</t>
        </is>
      </c>
      <c r="D75" s="7" t="inlineStr">
        <is>
          <t>01</t>
        </is>
      </c>
      <c r="E75" s="7" t="n">
        <v>6</v>
      </c>
      <c r="F75" s="7">
        <f>A75&amp;B75&amp;"-"&amp;C75&amp;E75&amp;"-"&amp;D75</f>
        <v/>
      </c>
      <c r="G75" s="7" t="n">
        <v>844</v>
      </c>
      <c r="H75" s="47">
        <f>_xlfn.XLOOKUP(G75,'All Associates'!A:A,'All Associates'!B:B)</f>
        <v/>
      </c>
      <c r="I75" s="47">
        <f>_xlfn.XLOOKUP(G75,'All Associates'!A:A,'All Associates'!D:D)</f>
        <v/>
      </c>
      <c r="J75" s="11">
        <f>IF(G75&lt;&gt;"","Allocated","Available")</f>
        <v/>
      </c>
    </row>
    <row r="76">
      <c r="A76" s="6" t="inlineStr">
        <is>
          <t>T</t>
        </is>
      </c>
      <c r="B76" s="6" t="n">
        <v>6</v>
      </c>
      <c r="C76" s="6" t="inlineStr">
        <is>
          <t>C</t>
        </is>
      </c>
      <c r="D76" s="7" t="inlineStr">
        <is>
          <t>02</t>
        </is>
      </c>
      <c r="E76" s="7" t="n">
        <v>6</v>
      </c>
      <c r="F76" s="7">
        <f>A76&amp;B76&amp;"-"&amp;C76&amp;E76&amp;"-"&amp;D76</f>
        <v/>
      </c>
      <c r="G76" s="7" t="n">
        <v>1222</v>
      </c>
      <c r="H76" s="47">
        <f>_xlfn.XLOOKUP(G76,'All Associates'!A:A,'All Associates'!B:B)</f>
        <v/>
      </c>
      <c r="I76" s="47">
        <f>_xlfn.XLOOKUP(G76,'All Associates'!A:A,'All Associates'!D:D)</f>
        <v/>
      </c>
      <c r="J76" s="11">
        <f>IF(G76&lt;&gt;"","Allocated","Available")</f>
        <v/>
      </c>
    </row>
    <row r="77">
      <c r="A77" s="6" t="inlineStr">
        <is>
          <t>T</t>
        </is>
      </c>
      <c r="B77" s="6" t="n">
        <v>6</v>
      </c>
      <c r="C77" s="6" t="inlineStr">
        <is>
          <t>C</t>
        </is>
      </c>
      <c r="D77" s="7" t="inlineStr">
        <is>
          <t>03</t>
        </is>
      </c>
      <c r="E77" s="7" t="n">
        <v>6</v>
      </c>
      <c r="F77" s="7">
        <f>A77&amp;B77&amp;"-"&amp;C77&amp;E77&amp;"-"&amp;D77</f>
        <v/>
      </c>
      <c r="G77" s="7" t="n">
        <v>694</v>
      </c>
      <c r="H77" s="47">
        <f>_xlfn.XLOOKUP(G77,'All Associates'!A:A,'All Associates'!B:B)</f>
        <v/>
      </c>
      <c r="I77" s="47">
        <f>_xlfn.XLOOKUP(G77,'All Associates'!A:A,'All Associates'!D:D)</f>
        <v/>
      </c>
      <c r="J77" s="11">
        <f>IF(G77&lt;&gt;"","Allocated","Available")</f>
        <v/>
      </c>
    </row>
    <row r="78">
      <c r="A78" s="6" t="inlineStr">
        <is>
          <t>T</t>
        </is>
      </c>
      <c r="B78" s="6" t="n">
        <v>6</v>
      </c>
      <c r="C78" s="6" t="inlineStr">
        <is>
          <t>C</t>
        </is>
      </c>
      <c r="D78" s="7" t="inlineStr">
        <is>
          <t>04</t>
        </is>
      </c>
      <c r="E78" s="7" t="n">
        <v>6</v>
      </c>
      <c r="F78" s="7">
        <f>A78&amp;B78&amp;"-"&amp;C78&amp;E78&amp;"-"&amp;D78</f>
        <v/>
      </c>
      <c r="G78" s="7" t="n">
        <v>845</v>
      </c>
      <c r="H78" s="47">
        <f>_xlfn.XLOOKUP(G78,'All Associates'!A:A,'All Associates'!B:B)</f>
        <v/>
      </c>
      <c r="I78" s="47">
        <f>_xlfn.XLOOKUP(G78,'All Associates'!A:A,'All Associates'!D:D)</f>
        <v/>
      </c>
      <c r="J78" s="11">
        <f>IF(G78&lt;&gt;"","Allocated","Available")</f>
        <v/>
      </c>
    </row>
    <row r="79">
      <c r="A79" s="6" t="inlineStr">
        <is>
          <t>T</t>
        </is>
      </c>
      <c r="B79" s="6" t="n">
        <v>6</v>
      </c>
      <c r="C79" s="6" t="inlineStr">
        <is>
          <t>C</t>
        </is>
      </c>
      <c r="D79" s="7" t="inlineStr">
        <is>
          <t>05</t>
        </is>
      </c>
      <c r="E79" s="7" t="n">
        <v>6</v>
      </c>
      <c r="F79" s="7">
        <f>A79&amp;B79&amp;"-"&amp;C79&amp;E79&amp;"-"&amp;D79</f>
        <v/>
      </c>
      <c r="G79" s="7" t="n">
        <v>517</v>
      </c>
      <c r="H79" s="47">
        <f>_xlfn.XLOOKUP(G79,'All Associates'!A:A,'All Associates'!B:B)</f>
        <v/>
      </c>
      <c r="I79" s="47">
        <f>_xlfn.XLOOKUP(G79,'All Associates'!A:A,'All Associates'!D:D)</f>
        <v/>
      </c>
      <c r="J79" s="11">
        <f>IF(G79&lt;&gt;"","Allocated","Available")</f>
        <v/>
      </c>
    </row>
    <row r="80">
      <c r="A80" s="6" t="inlineStr">
        <is>
          <t>T</t>
        </is>
      </c>
      <c r="B80" s="6" t="n">
        <v>6</v>
      </c>
      <c r="C80" s="6" t="inlineStr">
        <is>
          <t>C</t>
        </is>
      </c>
      <c r="D80" s="7" t="inlineStr">
        <is>
          <t>06</t>
        </is>
      </c>
      <c r="E80" s="7" t="n">
        <v>6</v>
      </c>
      <c r="F80" s="7">
        <f>A80&amp;B80&amp;"-"&amp;C80&amp;E80&amp;"-"&amp;D80</f>
        <v/>
      </c>
      <c r="G80" s="7" t="n">
        <v>257</v>
      </c>
      <c r="H80" s="47">
        <f>_xlfn.XLOOKUP(G80,'All Associates'!A:A,'All Associates'!B:B)</f>
        <v/>
      </c>
      <c r="I80" s="47">
        <f>_xlfn.XLOOKUP(G80,'All Associates'!A:A,'All Associates'!D:D)</f>
        <v/>
      </c>
      <c r="J80" s="11">
        <f>IF(G80&lt;&gt;"","Allocated","Available")</f>
        <v/>
      </c>
    </row>
    <row r="81">
      <c r="A81" s="6" t="inlineStr">
        <is>
          <t>T</t>
        </is>
      </c>
      <c r="B81" s="6" t="n">
        <v>6</v>
      </c>
      <c r="C81" s="6" t="inlineStr">
        <is>
          <t>C</t>
        </is>
      </c>
      <c r="D81" s="7" t="inlineStr">
        <is>
          <t>01</t>
        </is>
      </c>
      <c r="E81" s="7" t="inlineStr">
        <is>
          <t>M</t>
        </is>
      </c>
      <c r="F81" s="7">
        <f>A81&amp;B81&amp;"-"&amp;C81&amp;E81&amp;"-"&amp;D81</f>
        <v/>
      </c>
      <c r="G81" s="7" t="n">
        <v>123</v>
      </c>
      <c r="H81" s="47">
        <f>_xlfn.XLOOKUP(G81,'All Associates'!A:A,'All Associates'!B:B)</f>
        <v/>
      </c>
      <c r="I81" s="47">
        <f>_xlfn.XLOOKUP(G81,'All Associates'!A:A,'All Associates'!D:D)</f>
        <v/>
      </c>
      <c r="J81" s="11">
        <f>IF(G81&lt;&gt;"","Allocated","Available")</f>
        <v/>
      </c>
    </row>
    <row r="82">
      <c r="A82" s="6" t="inlineStr">
        <is>
          <t>T</t>
        </is>
      </c>
      <c r="B82" s="6" t="n">
        <v>6</v>
      </c>
      <c r="C82" s="6" t="inlineStr">
        <is>
          <t>C</t>
        </is>
      </c>
      <c r="D82" s="7" t="inlineStr">
        <is>
          <t>02</t>
        </is>
      </c>
      <c r="E82" s="7" t="inlineStr">
        <is>
          <t>M</t>
        </is>
      </c>
      <c r="F82" s="7">
        <f>A82&amp;B82&amp;"-"&amp;C82&amp;E82&amp;"-"&amp;D82</f>
        <v/>
      </c>
      <c r="G82" s="7" t="n">
        <v>435</v>
      </c>
      <c r="H82" s="47">
        <f>_xlfn.XLOOKUP(G82,'All Associates'!A:A,'All Associates'!B:B)</f>
        <v/>
      </c>
      <c r="I82" s="47">
        <f>_xlfn.XLOOKUP(G82,'All Associates'!A:A,'All Associates'!D:D)</f>
        <v/>
      </c>
      <c r="J82" s="11">
        <f>IF(G82&lt;&gt;"","Allocated","Available")</f>
        <v/>
      </c>
    </row>
    <row r="83">
      <c r="A83" s="6" t="inlineStr">
        <is>
          <t>T</t>
        </is>
      </c>
      <c r="B83" s="6" t="n">
        <v>6</v>
      </c>
      <c r="C83" s="6" t="inlineStr">
        <is>
          <t>D</t>
        </is>
      </c>
      <c r="D83" s="7" t="inlineStr">
        <is>
          <t>01</t>
        </is>
      </c>
      <c r="E83" s="7" t="n">
        <v>1</v>
      </c>
      <c r="F83" s="7">
        <f>A83&amp;B83&amp;"-"&amp;C83&amp;E83&amp;"-"&amp;D83</f>
        <v/>
      </c>
      <c r="G83" s="7" t="n">
        <v>1086</v>
      </c>
      <c r="H83" s="47">
        <f>_xlfn.XLOOKUP(G83,'All Associates'!A:A,'All Associates'!B:B)</f>
        <v/>
      </c>
      <c r="I83" s="47">
        <f>_xlfn.XLOOKUP(G83,'All Associates'!A:A,'All Associates'!D:D)</f>
        <v/>
      </c>
      <c r="J83" s="11">
        <f>IF(G83&lt;&gt;"","Allocated","Available")</f>
        <v/>
      </c>
    </row>
    <row r="84">
      <c r="A84" s="6" t="inlineStr">
        <is>
          <t>T</t>
        </is>
      </c>
      <c r="B84" s="6" t="n">
        <v>6</v>
      </c>
      <c r="C84" s="6" t="inlineStr">
        <is>
          <t>D</t>
        </is>
      </c>
      <c r="D84" s="7" t="inlineStr">
        <is>
          <t>02</t>
        </is>
      </c>
      <c r="E84" s="7" t="n">
        <v>1</v>
      </c>
      <c r="F84" s="7">
        <f>A84&amp;B84&amp;"-"&amp;C84&amp;E84&amp;"-"&amp;D84</f>
        <v/>
      </c>
      <c r="G84" s="7" t="n">
        <v>1072</v>
      </c>
      <c r="H84" s="47">
        <f>_xlfn.XLOOKUP(G84,'All Associates'!A:A,'All Associates'!B:B)</f>
        <v/>
      </c>
      <c r="I84" s="47">
        <f>_xlfn.XLOOKUP(G84,'All Associates'!A:A,'All Associates'!D:D)</f>
        <v/>
      </c>
      <c r="J84" s="11">
        <f>IF(G84&lt;&gt;"","Allocated","Available")</f>
        <v/>
      </c>
    </row>
    <row r="85">
      <c r="A85" s="6" t="inlineStr">
        <is>
          <t>T</t>
        </is>
      </c>
      <c r="B85" s="6" t="n">
        <v>6</v>
      </c>
      <c r="C85" s="6" t="inlineStr">
        <is>
          <t>D</t>
        </is>
      </c>
      <c r="D85" s="7" t="inlineStr">
        <is>
          <t>05</t>
        </is>
      </c>
      <c r="E85" s="7" t="n">
        <v>2</v>
      </c>
      <c r="F85" s="7">
        <f>A85&amp;B85&amp;"-"&amp;C85&amp;E85&amp;"-"&amp;D85</f>
        <v/>
      </c>
      <c r="G85" s="7" t="n">
        <v>1224</v>
      </c>
      <c r="H85" s="47">
        <f>_xlfn.XLOOKUP(G85,'All Associates'!A:A,'All Associates'!B:B)</f>
        <v/>
      </c>
      <c r="I85" s="47">
        <f>_xlfn.XLOOKUP(G85,'All Associates'!A:A,'All Associates'!D:D)</f>
        <v/>
      </c>
      <c r="J85" s="11">
        <f>IF(G85&lt;&gt;"","Allocated","Available")</f>
        <v/>
      </c>
    </row>
    <row r="86">
      <c r="A86" s="6" t="inlineStr">
        <is>
          <t>T</t>
        </is>
      </c>
      <c r="B86" s="6" t="n">
        <v>6</v>
      </c>
      <c r="C86" s="6" t="inlineStr">
        <is>
          <t>D</t>
        </is>
      </c>
      <c r="D86" s="7" t="inlineStr">
        <is>
          <t>04</t>
        </is>
      </c>
      <c r="E86" s="7" t="n">
        <v>1</v>
      </c>
      <c r="F86" s="7">
        <f>A86&amp;B86&amp;"-"&amp;C86&amp;E86&amp;"-"&amp;D86</f>
        <v/>
      </c>
      <c r="G86" s="7" t="n">
        <v>1159</v>
      </c>
      <c r="H86" s="47">
        <f>_xlfn.XLOOKUP(G86,'All Associates'!A:A,'All Associates'!B:B)</f>
        <v/>
      </c>
      <c r="I86" s="47">
        <f>_xlfn.XLOOKUP(G86,'All Associates'!A:A,'All Associates'!D:D)</f>
        <v/>
      </c>
      <c r="J86" s="11">
        <f>IF(G86&lt;&gt;"","Allocated","Available")</f>
        <v/>
      </c>
    </row>
    <row r="87">
      <c r="A87" s="6" t="inlineStr">
        <is>
          <t>T</t>
        </is>
      </c>
      <c r="B87" s="6" t="n">
        <v>6</v>
      </c>
      <c r="C87" s="6" t="inlineStr">
        <is>
          <t>D</t>
        </is>
      </c>
      <c r="D87" s="7" t="inlineStr">
        <is>
          <t>05</t>
        </is>
      </c>
      <c r="E87" s="7" t="n">
        <v>1</v>
      </c>
      <c r="F87" s="7">
        <f>A87&amp;B87&amp;"-"&amp;C87&amp;E87&amp;"-"&amp;D87</f>
        <v/>
      </c>
      <c r="G87" s="7" t="n">
        <v>1163</v>
      </c>
      <c r="H87" s="47">
        <f>_xlfn.XLOOKUP(G87,'All Associates'!A:A,'All Associates'!B:B)</f>
        <v/>
      </c>
      <c r="I87" s="47">
        <f>_xlfn.XLOOKUP(G87,'All Associates'!A:A,'All Associates'!D:D)</f>
        <v/>
      </c>
      <c r="J87" s="11">
        <f>IF(G87&lt;&gt;"","Allocated","Available")</f>
        <v/>
      </c>
    </row>
    <row r="88">
      <c r="A88" s="6" t="inlineStr">
        <is>
          <t>T</t>
        </is>
      </c>
      <c r="B88" s="6" t="n">
        <v>6</v>
      </c>
      <c r="C88" s="6" t="inlineStr">
        <is>
          <t>D</t>
        </is>
      </c>
      <c r="D88" s="7" t="inlineStr">
        <is>
          <t>06</t>
        </is>
      </c>
      <c r="E88" s="7" t="n">
        <v>1</v>
      </c>
      <c r="F88" s="7">
        <f>A88&amp;B88&amp;"-"&amp;C88&amp;E88&amp;"-"&amp;D88</f>
        <v/>
      </c>
      <c r="G88" s="7" t="n">
        <v>2002</v>
      </c>
      <c r="H88" s="47">
        <f>_xlfn.XLOOKUP(G88,'All Associates'!A:A,'All Associates'!B:B)</f>
        <v/>
      </c>
      <c r="I88" s="47">
        <f>_xlfn.XLOOKUP(G88,'All Associates'!A:A,'All Associates'!D:D)</f>
        <v/>
      </c>
      <c r="J88" s="11">
        <f>IF(G88&lt;&gt;"","Allocated","Available")</f>
        <v/>
      </c>
    </row>
    <row r="89">
      <c r="A89" s="6" t="inlineStr">
        <is>
          <t>T</t>
        </is>
      </c>
      <c r="B89" s="6" t="n">
        <v>6</v>
      </c>
      <c r="C89" s="6" t="inlineStr">
        <is>
          <t>D</t>
        </is>
      </c>
      <c r="D89" s="7" t="inlineStr">
        <is>
          <t>01</t>
        </is>
      </c>
      <c r="E89" s="7" t="n">
        <v>2</v>
      </c>
      <c r="F89" s="7">
        <f>A89&amp;B89&amp;"-"&amp;C89&amp;E89&amp;"-"&amp;D89</f>
        <v/>
      </c>
      <c r="G89" s="7" t="n">
        <v>1033</v>
      </c>
      <c r="H89" s="47">
        <f>_xlfn.XLOOKUP(G89,'All Associates'!A:A,'All Associates'!B:B)</f>
        <v/>
      </c>
      <c r="I89" s="47">
        <f>_xlfn.XLOOKUP(G89,'All Associates'!A:A,'All Associates'!D:D)</f>
        <v/>
      </c>
      <c r="J89" s="11">
        <f>IF(G89&lt;&gt;"","Allocated","Available")</f>
        <v/>
      </c>
    </row>
    <row r="90">
      <c r="A90" s="6" t="inlineStr">
        <is>
          <t>T</t>
        </is>
      </c>
      <c r="B90" s="6" t="n">
        <v>6</v>
      </c>
      <c r="C90" s="6" t="inlineStr">
        <is>
          <t>D</t>
        </is>
      </c>
      <c r="D90" s="7" t="inlineStr">
        <is>
          <t>02</t>
        </is>
      </c>
      <c r="E90" s="7" t="n">
        <v>2</v>
      </c>
      <c r="F90" s="7">
        <f>A90&amp;B90&amp;"-"&amp;C90&amp;E90&amp;"-"&amp;D90</f>
        <v/>
      </c>
      <c r="G90" s="7" t="n">
        <v>761</v>
      </c>
      <c r="H90" s="47">
        <f>_xlfn.XLOOKUP(G90,'All Associates'!A:A,'All Associates'!B:B)</f>
        <v/>
      </c>
      <c r="I90" s="47">
        <f>_xlfn.XLOOKUP(G90,'All Associates'!A:A,'All Associates'!D:D)</f>
        <v/>
      </c>
      <c r="J90" s="11">
        <f>IF(G90&lt;&gt;"","Allocated","Available")</f>
        <v/>
      </c>
    </row>
    <row r="91">
      <c r="A91" s="6" t="inlineStr">
        <is>
          <t>T</t>
        </is>
      </c>
      <c r="B91" s="6" t="n">
        <v>6</v>
      </c>
      <c r="C91" s="6" t="inlineStr">
        <is>
          <t>D</t>
        </is>
      </c>
      <c r="D91" s="7" t="inlineStr">
        <is>
          <t>03</t>
        </is>
      </c>
      <c r="E91" s="7" t="n">
        <v>2</v>
      </c>
      <c r="F91" s="7">
        <f>A91&amp;B91&amp;"-"&amp;C91&amp;E91&amp;"-"&amp;D91</f>
        <v/>
      </c>
      <c r="G91" s="7" t="n"/>
      <c r="H91" s="47">
        <f>_xlfn.XLOOKUP(G91,'All Associates'!A:A,'All Associates'!B:B)</f>
        <v/>
      </c>
      <c r="I91" s="47">
        <f>_xlfn.XLOOKUP(G91,'All Associates'!A:A,'All Associates'!D:D)</f>
        <v/>
      </c>
      <c r="J91" s="11">
        <f>IF(G91&lt;&gt;"","Allocated","Available")</f>
        <v/>
      </c>
    </row>
    <row r="92">
      <c r="A92" s="6" t="inlineStr">
        <is>
          <t>T</t>
        </is>
      </c>
      <c r="B92" s="6" t="n">
        <v>6</v>
      </c>
      <c r="C92" s="6" t="inlineStr">
        <is>
          <t>D</t>
        </is>
      </c>
      <c r="D92" s="7" t="inlineStr">
        <is>
          <t>04</t>
        </is>
      </c>
      <c r="E92" s="7" t="n">
        <v>2</v>
      </c>
      <c r="F92" s="7">
        <f>A92&amp;B92&amp;"-"&amp;C92&amp;E92&amp;"-"&amp;D92</f>
        <v/>
      </c>
      <c r="G92" s="7" t="n">
        <v>1090</v>
      </c>
      <c r="H92" s="47">
        <f>_xlfn.XLOOKUP(G92,'All Associates'!A:A,'All Associates'!B:B)</f>
        <v/>
      </c>
      <c r="I92" s="47">
        <f>_xlfn.XLOOKUP(G92,'All Associates'!A:A,'All Associates'!D:D)</f>
        <v/>
      </c>
      <c r="J92" s="11">
        <f>IF(G92&lt;&gt;"","Allocated","Available")</f>
        <v/>
      </c>
    </row>
    <row r="93">
      <c r="A93" s="6" t="inlineStr">
        <is>
          <t>T</t>
        </is>
      </c>
      <c r="B93" s="6" t="n">
        <v>6</v>
      </c>
      <c r="C93" s="6" t="inlineStr">
        <is>
          <t>D</t>
        </is>
      </c>
      <c r="D93" s="7" t="inlineStr">
        <is>
          <t>03</t>
        </is>
      </c>
      <c r="E93" s="7" t="n">
        <v>1</v>
      </c>
      <c r="F93" s="7">
        <f>A93&amp;B93&amp;"-"&amp;C93&amp;E93&amp;"-"&amp;D93</f>
        <v/>
      </c>
      <c r="G93" s="7" t="n">
        <v>1049</v>
      </c>
      <c r="H93" s="47">
        <f>_xlfn.XLOOKUP(G93,'All Associates'!A:A,'All Associates'!B:B)</f>
        <v/>
      </c>
      <c r="I93" s="47">
        <f>_xlfn.XLOOKUP(G93,'All Associates'!A:A,'All Associates'!D:D)</f>
        <v/>
      </c>
      <c r="J93" s="11">
        <f>IF(G93&lt;&gt;"","Allocated","Available")</f>
        <v/>
      </c>
    </row>
    <row r="94">
      <c r="A94" s="6" t="inlineStr">
        <is>
          <t>T</t>
        </is>
      </c>
      <c r="B94" s="6" t="n">
        <v>6</v>
      </c>
      <c r="C94" s="6" t="inlineStr">
        <is>
          <t>D</t>
        </is>
      </c>
      <c r="D94" s="7" t="inlineStr">
        <is>
          <t>06</t>
        </is>
      </c>
      <c r="E94" s="7" t="n">
        <v>2</v>
      </c>
      <c r="F94" s="7">
        <f>A94&amp;B94&amp;"-"&amp;C94&amp;E94&amp;"-"&amp;D94</f>
        <v/>
      </c>
      <c r="G94" s="6" t="n">
        <v>1225</v>
      </c>
      <c r="H94" s="47">
        <f>_xlfn.XLOOKUP(G94,'All Associates'!A:A,'All Associates'!B:B)</f>
        <v/>
      </c>
      <c r="I94" s="47">
        <f>_xlfn.XLOOKUP(G94,'All Associates'!A:A,'All Associates'!D:D)</f>
        <v/>
      </c>
      <c r="J94" s="11">
        <f>IF(G94&lt;&gt;"","Allocated","Available")</f>
        <v/>
      </c>
    </row>
    <row r="95">
      <c r="A95" s="6" t="inlineStr">
        <is>
          <t>T</t>
        </is>
      </c>
      <c r="B95" s="6" t="n">
        <v>6</v>
      </c>
      <c r="C95" s="6" t="inlineStr">
        <is>
          <t>D</t>
        </is>
      </c>
      <c r="D95" s="7" t="inlineStr">
        <is>
          <t>01</t>
        </is>
      </c>
      <c r="E95" s="7" t="n">
        <v>3</v>
      </c>
      <c r="F95" s="7">
        <f>A95&amp;B95&amp;"-"&amp;C95&amp;E95&amp;"-"&amp;D95</f>
        <v/>
      </c>
      <c r="G95" s="7" t="n">
        <v>818</v>
      </c>
      <c r="H95" s="47">
        <f>_xlfn.XLOOKUP(G95,'All Associates'!A:A,'All Associates'!B:B)</f>
        <v/>
      </c>
      <c r="I95" s="47">
        <f>_xlfn.XLOOKUP(G95,'All Associates'!A:A,'All Associates'!D:D)</f>
        <v/>
      </c>
      <c r="J95" s="11">
        <f>IF(G95&lt;&gt;"","Allocated","Available")</f>
        <v/>
      </c>
    </row>
    <row r="96">
      <c r="A96" s="6" t="inlineStr">
        <is>
          <t>T</t>
        </is>
      </c>
      <c r="B96" s="6" t="n">
        <v>6</v>
      </c>
      <c r="C96" s="6" t="inlineStr">
        <is>
          <t>D</t>
        </is>
      </c>
      <c r="D96" s="7" t="inlineStr">
        <is>
          <t>02</t>
        </is>
      </c>
      <c r="E96" s="7" t="n">
        <v>3</v>
      </c>
      <c r="F96" s="7">
        <f>A96&amp;B96&amp;"-"&amp;C96&amp;E96&amp;"-"&amp;D96</f>
        <v/>
      </c>
      <c r="G96" s="7" t="n">
        <v>995</v>
      </c>
      <c r="H96" s="47">
        <f>_xlfn.XLOOKUP(G96,'All Associates'!A:A,'All Associates'!B:B)</f>
        <v/>
      </c>
      <c r="I96" s="47">
        <f>_xlfn.XLOOKUP(G96,'All Associates'!A:A,'All Associates'!D:D)</f>
        <v/>
      </c>
      <c r="J96" s="11">
        <f>IF(G96&lt;&gt;"","Allocated","Available")</f>
        <v/>
      </c>
    </row>
    <row r="97">
      <c r="A97" s="6" t="inlineStr">
        <is>
          <t>T</t>
        </is>
      </c>
      <c r="B97" s="6" t="n">
        <v>6</v>
      </c>
      <c r="C97" s="6" t="inlineStr">
        <is>
          <t>D</t>
        </is>
      </c>
      <c r="D97" s="7" t="inlineStr">
        <is>
          <t>03</t>
        </is>
      </c>
      <c r="E97" s="7" t="n">
        <v>3</v>
      </c>
      <c r="F97" s="7">
        <f>A97&amp;B97&amp;"-"&amp;C97&amp;E97&amp;"-"&amp;D97</f>
        <v/>
      </c>
      <c r="G97" s="7" t="n">
        <v>850</v>
      </c>
      <c r="H97" s="47">
        <f>_xlfn.XLOOKUP(G97,'All Associates'!A:A,'All Associates'!B:B)</f>
        <v/>
      </c>
      <c r="I97" s="47">
        <f>_xlfn.XLOOKUP(G97,'All Associates'!A:A,'All Associates'!D:D)</f>
        <v/>
      </c>
      <c r="J97" s="11">
        <f>IF(G97&lt;&gt;"","Allocated","Available")</f>
        <v/>
      </c>
    </row>
    <row r="98">
      <c r="A98" s="6" t="inlineStr">
        <is>
          <t>T</t>
        </is>
      </c>
      <c r="B98" s="6" t="n">
        <v>6</v>
      </c>
      <c r="C98" s="6" t="inlineStr">
        <is>
          <t>D</t>
        </is>
      </c>
      <c r="D98" s="7" t="inlineStr">
        <is>
          <t>04</t>
        </is>
      </c>
      <c r="E98" s="7" t="n">
        <v>3</v>
      </c>
      <c r="F98" s="7">
        <f>A98&amp;B98&amp;"-"&amp;C98&amp;E98&amp;"-"&amp;D98</f>
        <v/>
      </c>
      <c r="G98" s="7" t="n"/>
      <c r="H98" s="47">
        <f>_xlfn.XLOOKUP(G98,'All Associates'!A:A,'All Associates'!B:B)</f>
        <v/>
      </c>
      <c r="I98" s="47">
        <f>_xlfn.XLOOKUP(G98,'All Associates'!A:A,'All Associates'!D:D)</f>
        <v/>
      </c>
      <c r="J98" s="11">
        <f>IF(G98&lt;&gt;"","Allocated","Available")</f>
        <v/>
      </c>
    </row>
    <row r="99">
      <c r="A99" s="6" t="inlineStr">
        <is>
          <t>T</t>
        </is>
      </c>
      <c r="B99" s="6" t="n">
        <v>6</v>
      </c>
      <c r="C99" s="6" t="inlineStr">
        <is>
          <t>D</t>
        </is>
      </c>
      <c r="D99" s="7" t="inlineStr">
        <is>
          <t>05</t>
        </is>
      </c>
      <c r="E99" s="7" t="n">
        <v>3</v>
      </c>
      <c r="F99" s="7">
        <f>A99&amp;B99&amp;"-"&amp;C99&amp;E99&amp;"-"&amp;D99</f>
        <v/>
      </c>
      <c r="G99" s="7" t="n">
        <v>89</v>
      </c>
      <c r="H99" s="47">
        <f>_xlfn.XLOOKUP(G99,'All Associates'!A:A,'All Associates'!B:B)</f>
        <v/>
      </c>
      <c r="I99" s="47">
        <f>_xlfn.XLOOKUP(G99,'All Associates'!A:A,'All Associates'!D:D)</f>
        <v/>
      </c>
      <c r="J99" s="11">
        <f>IF(G99&lt;&gt;"","Allocated","Available")</f>
        <v/>
      </c>
    </row>
    <row r="100">
      <c r="A100" s="6" t="inlineStr">
        <is>
          <t>T</t>
        </is>
      </c>
      <c r="B100" s="6" t="n">
        <v>6</v>
      </c>
      <c r="C100" s="6" t="inlineStr">
        <is>
          <t>D</t>
        </is>
      </c>
      <c r="D100" s="7" t="inlineStr">
        <is>
          <t>06</t>
        </is>
      </c>
      <c r="E100" s="7" t="n">
        <v>3</v>
      </c>
      <c r="F100" s="7">
        <f>A100&amp;B100&amp;"-"&amp;C100&amp;E100&amp;"-"&amp;D100</f>
        <v/>
      </c>
      <c r="G100" s="7" t="n">
        <v>1212</v>
      </c>
      <c r="H100" s="47">
        <f>_xlfn.XLOOKUP(G100,'All Associates'!A:A,'All Associates'!B:B)</f>
        <v/>
      </c>
      <c r="I100" s="47">
        <f>_xlfn.XLOOKUP(G100,'All Associates'!A:A,'All Associates'!D:D)</f>
        <v/>
      </c>
      <c r="J100" s="11">
        <f>IF(G100&lt;&gt;"","Allocated","Available")</f>
        <v/>
      </c>
    </row>
    <row r="101">
      <c r="A101" s="6" t="inlineStr">
        <is>
          <t>T</t>
        </is>
      </c>
      <c r="B101" s="6" t="n">
        <v>6</v>
      </c>
      <c r="C101" s="6" t="inlineStr">
        <is>
          <t>D</t>
        </is>
      </c>
      <c r="D101" s="7" t="inlineStr">
        <is>
          <t>01</t>
        </is>
      </c>
      <c r="E101" s="7" t="n">
        <v>4</v>
      </c>
      <c r="F101" s="7">
        <f>A101&amp;B101&amp;"-"&amp;C101&amp;E101&amp;"-"&amp;D101</f>
        <v/>
      </c>
      <c r="G101" s="7" t="n">
        <v>1171</v>
      </c>
      <c r="H101" s="47">
        <f>_xlfn.XLOOKUP(G101,'All Associates'!A:A,'All Associates'!B:B)</f>
        <v/>
      </c>
      <c r="I101" s="47">
        <f>_xlfn.XLOOKUP(G101,'All Associates'!A:A,'All Associates'!D:D)</f>
        <v/>
      </c>
      <c r="J101" s="11">
        <f>IF(G101&lt;&gt;"","Allocated","Available")</f>
        <v/>
      </c>
    </row>
    <row r="102">
      <c r="A102" s="6" t="inlineStr">
        <is>
          <t>T</t>
        </is>
      </c>
      <c r="B102" s="6" t="n">
        <v>6</v>
      </c>
      <c r="C102" s="6" t="inlineStr">
        <is>
          <t>D</t>
        </is>
      </c>
      <c r="D102" s="7" t="inlineStr">
        <is>
          <t>02</t>
        </is>
      </c>
      <c r="E102" s="7" t="n">
        <v>4</v>
      </c>
      <c r="F102" s="7">
        <f>A102&amp;B102&amp;"-"&amp;C102&amp;E102&amp;"-"&amp;D102</f>
        <v/>
      </c>
      <c r="G102" s="7" t="n">
        <v>1084</v>
      </c>
      <c r="H102" s="47">
        <f>_xlfn.XLOOKUP(G102,'All Associates'!A:A,'All Associates'!B:B)</f>
        <v/>
      </c>
      <c r="I102" s="47">
        <f>_xlfn.XLOOKUP(G102,'All Associates'!A:A,'All Associates'!D:D)</f>
        <v/>
      </c>
      <c r="J102" s="11">
        <f>IF(G102&lt;&gt;"","Allocated","Available")</f>
        <v/>
      </c>
    </row>
    <row r="103">
      <c r="A103" s="6" t="inlineStr">
        <is>
          <t>T</t>
        </is>
      </c>
      <c r="B103" s="6" t="n">
        <v>6</v>
      </c>
      <c r="C103" s="6" t="inlineStr">
        <is>
          <t>D</t>
        </is>
      </c>
      <c r="D103" s="7" t="inlineStr">
        <is>
          <t>03</t>
        </is>
      </c>
      <c r="E103" s="7" t="n">
        <v>4</v>
      </c>
      <c r="F103" s="7">
        <f>A103&amp;B103&amp;"-"&amp;C103&amp;E103&amp;"-"&amp;D103</f>
        <v/>
      </c>
      <c r="G103" s="7" t="n">
        <v>1107</v>
      </c>
      <c r="H103" s="47">
        <f>_xlfn.XLOOKUP(G103,'All Associates'!A:A,'All Associates'!B:B)</f>
        <v/>
      </c>
      <c r="I103" s="47">
        <f>_xlfn.XLOOKUP(G103,'All Associates'!A:A,'All Associates'!D:D)</f>
        <v/>
      </c>
      <c r="J103" s="11">
        <f>IF(G103&lt;&gt;"","Allocated","Available")</f>
        <v/>
      </c>
    </row>
    <row r="104">
      <c r="A104" s="6" t="inlineStr">
        <is>
          <t>T</t>
        </is>
      </c>
      <c r="B104" s="6" t="n">
        <v>6</v>
      </c>
      <c r="C104" s="6" t="inlineStr">
        <is>
          <t>D</t>
        </is>
      </c>
      <c r="D104" s="7" t="inlineStr">
        <is>
          <t>04</t>
        </is>
      </c>
      <c r="E104" s="7" t="n">
        <v>4</v>
      </c>
      <c r="F104" s="7">
        <f>A104&amp;B104&amp;"-"&amp;C104&amp;E104&amp;"-"&amp;D104</f>
        <v/>
      </c>
      <c r="G104" s="7" t="n">
        <v>1125</v>
      </c>
      <c r="H104" s="47">
        <f>_xlfn.XLOOKUP(G104,'All Associates'!A:A,'All Associates'!B:B)</f>
        <v/>
      </c>
      <c r="I104" s="47">
        <f>_xlfn.XLOOKUP(G104,'All Associates'!A:A,'All Associates'!D:D)</f>
        <v/>
      </c>
      <c r="J104" s="11">
        <f>IF(G104&lt;&gt;"","Allocated","Available")</f>
        <v/>
      </c>
    </row>
    <row r="105">
      <c r="A105" s="6" t="inlineStr">
        <is>
          <t>T</t>
        </is>
      </c>
      <c r="B105" s="6" t="n">
        <v>6</v>
      </c>
      <c r="C105" s="6" t="inlineStr">
        <is>
          <t>D</t>
        </is>
      </c>
      <c r="D105" s="7" t="inlineStr">
        <is>
          <t>05</t>
        </is>
      </c>
      <c r="E105" s="7" t="n">
        <v>4</v>
      </c>
      <c r="F105" s="7">
        <f>A105&amp;B105&amp;"-"&amp;C105&amp;E105&amp;"-"&amp;D105</f>
        <v/>
      </c>
      <c r="G105" s="7" t="n">
        <v>475</v>
      </c>
      <c r="H105" s="47">
        <f>_xlfn.XLOOKUP(G105,'All Associates'!A:A,'All Associates'!B:B)</f>
        <v/>
      </c>
      <c r="I105" s="47">
        <f>_xlfn.XLOOKUP(G105,'All Associates'!A:A,'All Associates'!D:D)</f>
        <v/>
      </c>
      <c r="J105" s="11">
        <f>IF(G105&lt;&gt;"","Allocated","Available")</f>
        <v/>
      </c>
    </row>
    <row r="106">
      <c r="A106" s="6" t="inlineStr">
        <is>
          <t>T</t>
        </is>
      </c>
      <c r="B106" s="6" t="n">
        <v>6</v>
      </c>
      <c r="C106" s="6" t="inlineStr">
        <is>
          <t>D</t>
        </is>
      </c>
      <c r="D106" s="7" t="inlineStr">
        <is>
          <t>06</t>
        </is>
      </c>
      <c r="E106" s="7" t="n">
        <v>4</v>
      </c>
      <c r="F106" s="7">
        <f>A106&amp;B106&amp;"-"&amp;C106&amp;E106&amp;"-"&amp;D106</f>
        <v/>
      </c>
      <c r="G106" s="7" t="n">
        <v>1105</v>
      </c>
      <c r="H106" s="47">
        <f>_xlfn.XLOOKUP(G106,'All Associates'!A:A,'All Associates'!B:B)</f>
        <v/>
      </c>
      <c r="I106" s="47">
        <f>_xlfn.XLOOKUP(G106,'All Associates'!A:A,'All Associates'!D:D)</f>
        <v/>
      </c>
      <c r="J106" s="11">
        <f>IF(G106&lt;&gt;"","Allocated","Available")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6dl08mhlbDldb5q8zXDI+w==" formatRows="1" sort="0" spinCount="100000" hashValue="cWtiM2UrWIfjFvrKABf+uiOxeNqD5nB8l2w3xbnrc3HqKjEZ0GrAHMjxICd8e9E9MiqT2JYmkOx+oHzsBvWrBg=="/>
  <autoFilter ref="A1:J106"/>
  <conditionalFormatting sqref="G1">
    <cfRule type="duplicateValues" priority="2" dxfId="0"/>
  </conditionalFormatting>
  <conditionalFormatting sqref="G1:G1048576">
    <cfRule type="duplicateValues" priority="1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0"/>
  <sheetViews>
    <sheetView showGridLines="0" zoomScaleNormal="100" workbookViewId="0">
      <pane xSplit="3" ySplit="1" topLeftCell="D2" activePane="bottomRight" state="frozen"/>
      <selection pane="bottomRight" activeCell="L12" sqref="L12"/>
      <selection pane="bottomLeft" activeCell="A2" sqref="A2"/>
      <selection pane="topRight" activeCell="E1" sqref="E1"/>
    </sheetView>
  </sheetViews>
  <sheetFormatPr baseColWidth="8" defaultColWidth="8.7109375" defaultRowHeight="15"/>
  <cols>
    <col width="9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5.28515625" customWidth="1" style="1" min="7" max="7"/>
    <col width="41.28515625" customWidth="1" style="18" min="8" max="8"/>
    <col width="28.42578125" customWidth="1" style="18" min="9" max="9"/>
    <col width="16.7109375" customWidth="1" min="10" max="10"/>
    <col width="69.140625" customWidth="1" min="12" max="12"/>
    <col width="12.28515625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48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R</t>
        </is>
      </c>
      <c r="B2" s="6" t="n">
        <v>3</v>
      </c>
      <c r="C2" s="7" t="inlineStr">
        <is>
          <t>E</t>
        </is>
      </c>
      <c r="D2" s="12" t="inlineStr">
        <is>
          <t>01</t>
        </is>
      </c>
      <c r="E2" s="7" t="n">
        <v>1</v>
      </c>
      <c r="F2" s="7">
        <f>A2&amp;B2&amp;"-"&amp;C2&amp;E2&amp;"-"&amp;D2</f>
        <v/>
      </c>
      <c r="G2" s="7" t="n">
        <v>186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11">
        <f>IF(G2&lt;&gt;"","Allocated","Available")</f>
        <v/>
      </c>
    </row>
    <row r="3">
      <c r="A3" s="6" t="inlineStr">
        <is>
          <t>R</t>
        </is>
      </c>
      <c r="B3" s="6" t="n">
        <v>3</v>
      </c>
      <c r="C3" s="7" t="inlineStr">
        <is>
          <t>E</t>
        </is>
      </c>
      <c r="D3" s="12" t="inlineStr">
        <is>
          <t>02</t>
        </is>
      </c>
      <c r="E3" s="7" t="n">
        <v>1</v>
      </c>
      <c r="F3" s="7">
        <f>A3&amp;B3&amp;"-"&amp;C3&amp;E3&amp;"-"&amp;D3</f>
        <v/>
      </c>
      <c r="G3" s="7" t="n"/>
      <c r="H3" s="47">
        <f>_xlfn.XLOOKUP(G3,'All Associates'!A:A,'All Associates'!B:B)</f>
        <v/>
      </c>
      <c r="I3" s="47">
        <f>_xlfn.XLOOKUP(G3,'All Associates'!A:A,'All Associates'!D:D)</f>
        <v/>
      </c>
      <c r="J3" s="11">
        <f>IF(G3&lt;&gt;"","Allocated","Available")</f>
        <v/>
      </c>
    </row>
    <row r="4">
      <c r="A4" s="6" t="inlineStr">
        <is>
          <t>R</t>
        </is>
      </c>
      <c r="B4" s="6" t="n">
        <v>3</v>
      </c>
      <c r="C4" s="6" t="inlineStr">
        <is>
          <t>E</t>
        </is>
      </c>
      <c r="D4" s="12" t="inlineStr">
        <is>
          <t>02</t>
        </is>
      </c>
      <c r="E4" s="6" t="n">
        <v>1</v>
      </c>
      <c r="F4" s="7">
        <f>A4&amp;B4&amp;"-"&amp;C4&amp;E4&amp;"-"&amp;D4</f>
        <v/>
      </c>
      <c r="G4" s="7" t="n">
        <v>875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11">
        <f>IF(G4&lt;&gt;"","Allocated","Available")</f>
        <v/>
      </c>
    </row>
    <row r="5">
      <c r="A5" s="6" t="inlineStr">
        <is>
          <t>R</t>
        </is>
      </c>
      <c r="B5" s="6" t="n">
        <v>3</v>
      </c>
      <c r="C5" s="7" t="inlineStr">
        <is>
          <t>E</t>
        </is>
      </c>
      <c r="D5" s="12" t="inlineStr">
        <is>
          <t>03</t>
        </is>
      </c>
      <c r="E5" s="7" t="n">
        <v>1</v>
      </c>
      <c r="F5" s="7">
        <f>A5&amp;B5&amp;"-"&amp;C5&amp;E5&amp;"-"&amp;D5</f>
        <v/>
      </c>
      <c r="G5" s="7" t="n">
        <v>200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11">
        <f>IF(G5&lt;&gt;"","Allocated","Available")</f>
        <v/>
      </c>
    </row>
    <row r="6">
      <c r="A6" s="6" t="inlineStr">
        <is>
          <t>R</t>
        </is>
      </c>
      <c r="B6" s="6" t="n">
        <v>3</v>
      </c>
      <c r="C6" s="7" t="inlineStr">
        <is>
          <t>E</t>
        </is>
      </c>
      <c r="D6" s="12" t="inlineStr">
        <is>
          <t>04</t>
        </is>
      </c>
      <c r="E6" s="7" t="n">
        <v>1</v>
      </c>
      <c r="F6" s="7">
        <f>A6&amp;B6&amp;"-"&amp;C6&amp;E6&amp;"-"&amp;D6</f>
        <v/>
      </c>
      <c r="G6" s="7" t="n">
        <v>1231</v>
      </c>
      <c r="H6" s="47">
        <f>_xlfn.XLOOKUP(G6,'All Associates'!A:A,'All Associates'!B:B)</f>
        <v/>
      </c>
      <c r="I6" s="47">
        <f>_xlfn.XLOOKUP(G6,'All Associates'!A:A,'All Associates'!D:D)</f>
        <v/>
      </c>
      <c r="J6" s="11">
        <f>IF(G6&lt;&gt;"","Allocated","Available")</f>
        <v/>
      </c>
    </row>
    <row r="7">
      <c r="A7" s="6" t="inlineStr">
        <is>
          <t>R</t>
        </is>
      </c>
      <c r="B7" s="6" t="n">
        <v>3</v>
      </c>
      <c r="C7" s="7" t="inlineStr">
        <is>
          <t>E</t>
        </is>
      </c>
      <c r="D7" s="12" t="inlineStr">
        <is>
          <t>05</t>
        </is>
      </c>
      <c r="E7" s="7" t="n">
        <v>1</v>
      </c>
      <c r="F7" s="7">
        <f>A7&amp;B7&amp;"-"&amp;C7&amp;E7&amp;"-"&amp;D7</f>
        <v/>
      </c>
      <c r="G7" s="7" t="n">
        <v>2003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11">
        <f>IF(G7&lt;&gt;"","Allocated","Available")</f>
        <v/>
      </c>
    </row>
    <row r="8">
      <c r="A8" s="6" t="inlineStr">
        <is>
          <t>R</t>
        </is>
      </c>
      <c r="B8" s="6" t="n">
        <v>3</v>
      </c>
      <c r="C8" s="7" t="inlineStr">
        <is>
          <t>E</t>
        </is>
      </c>
      <c r="D8" s="12" t="inlineStr">
        <is>
          <t>01</t>
        </is>
      </c>
      <c r="E8" s="7" t="n">
        <v>2</v>
      </c>
      <c r="F8" s="7">
        <f>A8&amp;B8&amp;"-"&amp;C8&amp;E8&amp;"-"&amp;D8</f>
        <v/>
      </c>
      <c r="G8" s="7" t="n">
        <v>829</v>
      </c>
      <c r="H8" s="47">
        <f>_xlfn.XLOOKUP(G8,'All Associates'!A:A,'All Associates'!B:B)</f>
        <v/>
      </c>
      <c r="I8" s="47">
        <f>_xlfn.XLOOKUP(G8,'All Associates'!A:A,'All Associates'!D:D)</f>
        <v/>
      </c>
      <c r="J8" s="11">
        <f>IF(G8&lt;&gt;"","Allocated","Available")</f>
        <v/>
      </c>
    </row>
    <row r="9">
      <c r="A9" s="6" t="inlineStr">
        <is>
          <t>R</t>
        </is>
      </c>
      <c r="B9" s="6" t="n">
        <v>3</v>
      </c>
      <c r="C9" s="7" t="inlineStr">
        <is>
          <t>E</t>
        </is>
      </c>
      <c r="D9" s="12" t="inlineStr">
        <is>
          <t>02</t>
        </is>
      </c>
      <c r="E9" s="7" t="n">
        <v>2</v>
      </c>
      <c r="F9" s="7">
        <f>A9&amp;B9&amp;"-"&amp;C9&amp;E9&amp;"-"&amp;D9</f>
        <v/>
      </c>
      <c r="G9" s="7" t="n">
        <v>1109</v>
      </c>
      <c r="H9" s="47">
        <f>_xlfn.XLOOKUP(G9,'All Associates'!A:A,'All Associates'!B:B)</f>
        <v/>
      </c>
      <c r="I9" s="47">
        <f>_xlfn.XLOOKUP(G9,'All Associates'!A:A,'All Associates'!D:D)</f>
        <v/>
      </c>
      <c r="J9" s="11">
        <f>IF(G9&lt;&gt;"","Allocated","Available")</f>
        <v/>
      </c>
    </row>
    <row r="10">
      <c r="A10" s="6" t="inlineStr">
        <is>
          <t>R</t>
        </is>
      </c>
      <c r="B10" s="6" t="n">
        <v>3</v>
      </c>
      <c r="C10" s="7" t="inlineStr">
        <is>
          <t>E</t>
        </is>
      </c>
      <c r="D10" s="12" t="inlineStr">
        <is>
          <t>03</t>
        </is>
      </c>
      <c r="E10" s="7" t="n">
        <v>2</v>
      </c>
      <c r="F10" s="7">
        <f>A10&amp;B10&amp;"-"&amp;C10&amp;E10&amp;"-"&amp;D10</f>
        <v/>
      </c>
      <c r="G10" s="7" t="n">
        <v>971</v>
      </c>
      <c r="H10" s="47">
        <f>_xlfn.XLOOKUP(G10,'All Associates'!A:A,'All Associates'!B:B)</f>
        <v/>
      </c>
      <c r="I10" s="47">
        <f>_xlfn.XLOOKUP(G10,'All Associates'!A:A,'All Associates'!D:D)</f>
        <v/>
      </c>
      <c r="J10" s="11">
        <f>IF(G10&lt;&gt;"","Allocated","Available")</f>
        <v/>
      </c>
    </row>
    <row r="11">
      <c r="A11" s="6" t="inlineStr">
        <is>
          <t>R</t>
        </is>
      </c>
      <c r="B11" s="6" t="n">
        <v>3</v>
      </c>
      <c r="C11" s="7" t="inlineStr">
        <is>
          <t>E</t>
        </is>
      </c>
      <c r="D11" s="12" t="inlineStr">
        <is>
          <t>04</t>
        </is>
      </c>
      <c r="E11" s="7" t="n">
        <v>2</v>
      </c>
      <c r="F11" s="7">
        <f>A11&amp;B11&amp;"-"&amp;C11&amp;E11&amp;"-"&amp;D11</f>
        <v/>
      </c>
      <c r="G11" s="7" t="n">
        <v>267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11">
        <f>IF(G11&lt;&gt;"","Allocated","Available")</f>
        <v/>
      </c>
    </row>
    <row r="12">
      <c r="A12" s="6" t="inlineStr">
        <is>
          <t>R</t>
        </is>
      </c>
      <c r="B12" s="6" t="n">
        <v>3</v>
      </c>
      <c r="C12" s="7" t="inlineStr">
        <is>
          <t>E</t>
        </is>
      </c>
      <c r="D12" s="12" t="inlineStr">
        <is>
          <t>05</t>
        </is>
      </c>
      <c r="E12" s="7" t="n">
        <v>2</v>
      </c>
      <c r="F12" s="7">
        <f>A12&amp;B12&amp;"-"&amp;C12&amp;E12&amp;"-"&amp;D12</f>
        <v/>
      </c>
      <c r="G12" s="7" t="n">
        <v>690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11">
        <f>IF(G12&lt;&gt;"","Allocated","Available")</f>
        <v/>
      </c>
    </row>
    <row r="13">
      <c r="A13" s="6" t="inlineStr">
        <is>
          <t>R</t>
        </is>
      </c>
      <c r="B13" s="6" t="n">
        <v>3</v>
      </c>
      <c r="C13" s="7" t="inlineStr">
        <is>
          <t>E</t>
        </is>
      </c>
      <c r="D13" s="12" t="inlineStr">
        <is>
          <t>06</t>
        </is>
      </c>
      <c r="E13" s="7" t="n">
        <v>2</v>
      </c>
      <c r="F13" s="7">
        <f>A13&amp;B13&amp;"-"&amp;C13&amp;E13&amp;"-"&amp;D13</f>
        <v/>
      </c>
      <c r="G13" s="7" t="n">
        <v>2056</v>
      </c>
      <c r="H13" s="47">
        <f>_xlfn.XLOOKUP(G13,'All Associates'!A:A,'All Associates'!B:B)</f>
        <v/>
      </c>
      <c r="I13" s="47">
        <f>_xlfn.XLOOKUP(G13,'All Associates'!A:A,'All Associates'!D:D)</f>
        <v/>
      </c>
      <c r="J13" s="11">
        <f>IF(G13&lt;&gt;"","Allocated","Available")</f>
        <v/>
      </c>
    </row>
    <row r="14">
      <c r="A14" s="6" t="inlineStr">
        <is>
          <t>R</t>
        </is>
      </c>
      <c r="B14" s="6" t="n">
        <v>3</v>
      </c>
      <c r="C14" s="7" t="inlineStr">
        <is>
          <t>E</t>
        </is>
      </c>
      <c r="D14" s="12" t="inlineStr">
        <is>
          <t>01</t>
        </is>
      </c>
      <c r="E14" s="7" t="n">
        <v>3</v>
      </c>
      <c r="F14" s="7">
        <f>A14&amp;B14&amp;"-"&amp;C14&amp;E14&amp;"-"&amp;D14</f>
        <v/>
      </c>
      <c r="G14" s="6" t="n">
        <v>576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11">
        <f>IF(G14&lt;&gt;"","Allocated","Available")</f>
        <v/>
      </c>
    </row>
    <row r="15">
      <c r="A15" s="6" t="inlineStr">
        <is>
          <t>R</t>
        </is>
      </c>
      <c r="B15" s="6" t="n">
        <v>3</v>
      </c>
      <c r="C15" s="7" t="inlineStr">
        <is>
          <t>E</t>
        </is>
      </c>
      <c r="D15" s="12" t="inlineStr">
        <is>
          <t>02</t>
        </is>
      </c>
      <c r="E15" s="7" t="n">
        <v>3</v>
      </c>
      <c r="F15" s="7">
        <f>A15&amp;B15&amp;"-"&amp;C15&amp;E15&amp;"-"&amp;D15</f>
        <v/>
      </c>
      <c r="G15" s="7" t="n">
        <v>196</v>
      </c>
      <c r="H15" s="47">
        <f>_xlfn.XLOOKUP(G15,'All Associates'!A:A,'All Associates'!B:B)</f>
        <v/>
      </c>
      <c r="I15" s="47">
        <f>_xlfn.XLOOKUP(G15,'All Associates'!A:A,'All Associates'!D:D)</f>
        <v/>
      </c>
      <c r="J15" s="11">
        <f>IF(G15&lt;&gt;"","Allocated","Available")</f>
        <v/>
      </c>
    </row>
    <row r="16">
      <c r="A16" s="6" t="inlineStr">
        <is>
          <t>R</t>
        </is>
      </c>
      <c r="B16" s="6" t="n">
        <v>3</v>
      </c>
      <c r="C16" s="7" t="inlineStr">
        <is>
          <t>E</t>
        </is>
      </c>
      <c r="D16" s="12" t="inlineStr">
        <is>
          <t>03</t>
        </is>
      </c>
      <c r="E16" s="7" t="n">
        <v>3</v>
      </c>
      <c r="F16" s="7">
        <f>A16&amp;B16&amp;"-"&amp;C16&amp;E16&amp;"-"&amp;D16</f>
        <v/>
      </c>
      <c r="G16" s="7" t="n">
        <v>2065</v>
      </c>
      <c r="H16" s="47">
        <f>_xlfn.XLOOKUP(G16,'All Associates'!A:A,'All Associates'!B:B)</f>
        <v/>
      </c>
      <c r="I16" s="47">
        <f>_xlfn.XLOOKUP(G16,'All Associates'!A:A,'All Associates'!D:D)</f>
        <v/>
      </c>
      <c r="J16" s="11">
        <f>IF(G16&lt;&gt;"","Allocated","Available")</f>
        <v/>
      </c>
    </row>
    <row r="17">
      <c r="A17" s="6" t="inlineStr">
        <is>
          <t>R</t>
        </is>
      </c>
      <c r="B17" s="6" t="n">
        <v>3</v>
      </c>
      <c r="C17" s="7" t="inlineStr">
        <is>
          <t>E</t>
        </is>
      </c>
      <c r="D17" s="12" t="inlineStr">
        <is>
          <t>04</t>
        </is>
      </c>
      <c r="E17" s="7" t="n">
        <v>3</v>
      </c>
      <c r="F17" s="7">
        <f>A17&amp;B17&amp;"-"&amp;C17&amp;E17&amp;"-"&amp;D17</f>
        <v/>
      </c>
      <c r="G17" s="7" t="n">
        <v>1169</v>
      </c>
      <c r="H17" s="47">
        <f>_xlfn.XLOOKUP(G17,'All Associates'!A:A,'All Associates'!B:B)</f>
        <v/>
      </c>
      <c r="I17" s="47">
        <f>_xlfn.XLOOKUP(G17,'All Associates'!A:A,'All Associates'!D:D)</f>
        <v/>
      </c>
      <c r="J17" s="11">
        <f>IF(G17&lt;&gt;"","Allocated","Available")</f>
        <v/>
      </c>
    </row>
    <row r="18">
      <c r="A18" s="6" t="inlineStr">
        <is>
          <t>R</t>
        </is>
      </c>
      <c r="B18" s="6" t="n">
        <v>3</v>
      </c>
      <c r="C18" s="7" t="inlineStr">
        <is>
          <t>E</t>
        </is>
      </c>
      <c r="D18" s="12" t="inlineStr">
        <is>
          <t>05</t>
        </is>
      </c>
      <c r="E18" s="7" t="n">
        <v>3</v>
      </c>
      <c r="F18" s="7">
        <f>A18&amp;B18&amp;"-"&amp;C18&amp;E18&amp;"-"&amp;D18</f>
        <v/>
      </c>
      <c r="G18" s="7" t="n">
        <v>733</v>
      </c>
      <c r="H18" s="47">
        <f>_xlfn.XLOOKUP(G18,'All Associates'!A:A,'All Associates'!B:B)</f>
        <v/>
      </c>
      <c r="I18" s="47">
        <f>_xlfn.XLOOKUP(G18,'All Associates'!A:A,'All Associates'!D:D)</f>
        <v/>
      </c>
      <c r="J18" s="11">
        <f>IF(G18&lt;&gt;"","Allocated","Available")</f>
        <v/>
      </c>
    </row>
    <row r="19">
      <c r="A19" s="6" t="inlineStr">
        <is>
          <t>R</t>
        </is>
      </c>
      <c r="B19" s="6" t="n">
        <v>3</v>
      </c>
      <c r="C19" s="7" t="inlineStr">
        <is>
          <t>E</t>
        </is>
      </c>
      <c r="D19" s="12" t="inlineStr">
        <is>
          <t>06</t>
        </is>
      </c>
      <c r="E19" s="7" t="n">
        <v>3</v>
      </c>
      <c r="F19" s="7">
        <f>A19&amp;B19&amp;"-"&amp;C19&amp;E19&amp;"-"&amp;D19</f>
        <v/>
      </c>
      <c r="G19" s="7" t="n">
        <v>2052</v>
      </c>
      <c r="H19" s="47">
        <f>_xlfn.XLOOKUP(G19,'All Associates'!A:A,'All Associates'!B:B)</f>
        <v/>
      </c>
      <c r="I19" s="47">
        <f>_xlfn.XLOOKUP(G19,'All Associates'!A:A,'All Associates'!D:D)</f>
        <v/>
      </c>
      <c r="J19" s="11">
        <f>IF(G19&lt;&gt;"","Allocated","Available")</f>
        <v/>
      </c>
    </row>
    <row r="20">
      <c r="A20" s="6" t="inlineStr">
        <is>
          <t>R</t>
        </is>
      </c>
      <c r="B20" s="6" t="n">
        <v>3</v>
      </c>
      <c r="C20" s="7" t="inlineStr">
        <is>
          <t>E</t>
        </is>
      </c>
      <c r="D20" s="12" t="inlineStr">
        <is>
          <t>07</t>
        </is>
      </c>
      <c r="E20" s="7" t="n">
        <v>3</v>
      </c>
      <c r="F20" s="7">
        <f>A20&amp;B20&amp;"-"&amp;C20&amp;E20&amp;"-"&amp;D20</f>
        <v/>
      </c>
      <c r="G20" s="7" t="n"/>
      <c r="H20" s="47">
        <f>_xlfn.XLOOKUP(G20,'All Associates'!A:A,'All Associates'!B:B)</f>
        <v/>
      </c>
      <c r="I20" s="47">
        <f>_xlfn.XLOOKUP(G20,'All Associates'!A:A,'All Associates'!D:D)</f>
        <v/>
      </c>
      <c r="J20" s="11">
        <f>IF(G20&lt;&gt;"","Allocated","Available")</f>
        <v/>
      </c>
    </row>
    <row r="21">
      <c r="A21" s="6" t="inlineStr">
        <is>
          <t>R</t>
        </is>
      </c>
      <c r="B21" s="6" t="n">
        <v>3</v>
      </c>
      <c r="C21" s="7" t="inlineStr">
        <is>
          <t>E</t>
        </is>
      </c>
      <c r="D21" s="12" t="inlineStr">
        <is>
          <t>08</t>
        </is>
      </c>
      <c r="E21" s="7" t="n">
        <v>3</v>
      </c>
      <c r="F21" s="7">
        <f>A21&amp;B21&amp;"-"&amp;C21&amp;E21&amp;"-"&amp;D21</f>
        <v/>
      </c>
      <c r="G21" s="7" t="n"/>
      <c r="H21" s="47">
        <f>_xlfn.XLOOKUP(G21,'All Associates'!A:A,'All Associates'!B:B)</f>
        <v/>
      </c>
      <c r="I21" s="47">
        <f>_xlfn.XLOOKUP(G21,'All Associates'!A:A,'All Associates'!D:D)</f>
        <v/>
      </c>
      <c r="J21" s="11">
        <f>IF(G21&lt;&gt;"","Allocated","Available")</f>
        <v/>
      </c>
    </row>
    <row r="22">
      <c r="A22" s="6" t="inlineStr">
        <is>
          <t>R</t>
        </is>
      </c>
      <c r="B22" s="6" t="n">
        <v>3</v>
      </c>
      <c r="C22" s="7" t="inlineStr">
        <is>
          <t>E</t>
        </is>
      </c>
      <c r="D22" s="12" t="inlineStr">
        <is>
          <t>01</t>
        </is>
      </c>
      <c r="E22" s="7" t="n">
        <v>4</v>
      </c>
      <c r="F22" s="7">
        <f>A22&amp;B22&amp;"-"&amp;C22&amp;E22&amp;"-"&amp;D22</f>
        <v/>
      </c>
      <c r="G22" s="6" t="n">
        <v>663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11">
        <f>IF(G22&lt;&gt;"","Allocated","Available")</f>
        <v/>
      </c>
    </row>
    <row r="23">
      <c r="A23" s="6" t="inlineStr">
        <is>
          <t>R</t>
        </is>
      </c>
      <c r="B23" s="6" t="n">
        <v>3</v>
      </c>
      <c r="C23" s="7" t="inlineStr">
        <is>
          <t>E</t>
        </is>
      </c>
      <c r="D23" s="12" t="inlineStr">
        <is>
          <t>02</t>
        </is>
      </c>
      <c r="E23" s="7" t="n">
        <v>4</v>
      </c>
      <c r="F23" s="7">
        <f>A23&amp;B23&amp;"-"&amp;C23&amp;E23&amp;"-"&amp;D23</f>
        <v/>
      </c>
      <c r="G23" s="7" t="n">
        <v>675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11">
        <f>IF(G23&lt;&gt;"","Allocated","Available")</f>
        <v/>
      </c>
    </row>
    <row r="24">
      <c r="A24" s="6" t="inlineStr">
        <is>
          <t>R</t>
        </is>
      </c>
      <c r="B24" s="6" t="n">
        <v>3</v>
      </c>
      <c r="C24" s="7" t="inlineStr">
        <is>
          <t>E</t>
        </is>
      </c>
      <c r="D24" s="12" t="inlineStr">
        <is>
          <t>03</t>
        </is>
      </c>
      <c r="E24" s="7" t="n">
        <v>4</v>
      </c>
      <c r="F24" s="7">
        <f>A24&amp;B24&amp;"-"&amp;C24&amp;E24&amp;"-"&amp;D24</f>
        <v/>
      </c>
      <c r="G24" s="6" t="n">
        <v>610</v>
      </c>
      <c r="H24" s="47">
        <f>_xlfn.XLOOKUP(G24,'All Associates'!A:A,'All Associates'!B:B)</f>
        <v/>
      </c>
      <c r="I24" s="47">
        <f>_xlfn.XLOOKUP(G24,'All Associates'!A:A,'All Associates'!D:D)</f>
        <v/>
      </c>
      <c r="J24" s="11">
        <f>IF(G24&lt;&gt;"","Allocated","Available")</f>
        <v/>
      </c>
    </row>
    <row r="25">
      <c r="A25" s="6" t="inlineStr">
        <is>
          <t>R</t>
        </is>
      </c>
      <c r="B25" s="6" t="n">
        <v>3</v>
      </c>
      <c r="C25" s="7" t="inlineStr">
        <is>
          <t>E</t>
        </is>
      </c>
      <c r="D25" s="12" t="inlineStr">
        <is>
          <t>04</t>
        </is>
      </c>
      <c r="E25" s="7" t="n">
        <v>4</v>
      </c>
      <c r="F25" s="7">
        <f>A25&amp;B25&amp;"-"&amp;C25&amp;E25&amp;"-"&amp;D25</f>
        <v/>
      </c>
      <c r="G25" s="6" t="n">
        <v>809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11">
        <f>IF(G25&lt;&gt;"","Allocated","Available")</f>
        <v/>
      </c>
    </row>
    <row r="26">
      <c r="A26" s="6" t="inlineStr">
        <is>
          <t>R</t>
        </is>
      </c>
      <c r="B26" s="6" t="n">
        <v>3</v>
      </c>
      <c r="C26" s="7" t="inlineStr">
        <is>
          <t>E</t>
        </is>
      </c>
      <c r="D26" s="12" t="inlineStr">
        <is>
          <t>05</t>
        </is>
      </c>
      <c r="E26" s="7" t="n">
        <v>4</v>
      </c>
      <c r="F26" s="7">
        <f>A26&amp;B26&amp;"-"&amp;C26&amp;E26&amp;"-"&amp;D26</f>
        <v/>
      </c>
      <c r="G26" s="7" t="n">
        <v>960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11">
        <f>IF(G26&lt;&gt;"","Allocated","Available")</f>
        <v/>
      </c>
    </row>
    <row r="27" ht="13.5" customHeight="1">
      <c r="A27" s="6" t="inlineStr">
        <is>
          <t>R</t>
        </is>
      </c>
      <c r="B27" s="6" t="n">
        <v>3</v>
      </c>
      <c r="C27" s="7" t="inlineStr">
        <is>
          <t>E</t>
        </is>
      </c>
      <c r="D27" s="12" t="inlineStr">
        <is>
          <t>06</t>
        </is>
      </c>
      <c r="E27" s="7" t="n">
        <v>4</v>
      </c>
      <c r="F27" s="7">
        <f>A27&amp;B27&amp;"-"&amp;C27&amp;E27&amp;"-"&amp;D27</f>
        <v/>
      </c>
      <c r="G27" s="6" t="n">
        <v>933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11">
        <f>IF(G27&lt;&gt;"","Allocated","Available")</f>
        <v/>
      </c>
    </row>
    <row r="28" ht="13.5" customHeight="1">
      <c r="A28" s="6" t="inlineStr">
        <is>
          <t>R</t>
        </is>
      </c>
      <c r="B28" s="6" t="n">
        <v>3</v>
      </c>
      <c r="C28" s="7" t="inlineStr">
        <is>
          <t>F</t>
        </is>
      </c>
      <c r="D28" s="12" t="inlineStr">
        <is>
          <t>01</t>
        </is>
      </c>
      <c r="E28" s="7" t="n">
        <v>1</v>
      </c>
      <c r="F28" s="7">
        <f>A28&amp;B28&amp;"-"&amp;C28&amp;E28&amp;"-"&amp;D28</f>
        <v/>
      </c>
      <c r="G28" s="7" t="inlineStr">
        <is>
          <t>HW</t>
        </is>
      </c>
      <c r="H28" s="47" t="n"/>
      <c r="I28" s="47" t="n"/>
      <c r="J28" s="47" t="inlineStr">
        <is>
          <t>HW</t>
        </is>
      </c>
    </row>
    <row r="29" ht="13.5" customHeight="1">
      <c r="A29" s="6" t="inlineStr">
        <is>
          <t>R</t>
        </is>
      </c>
      <c r="B29" s="6" t="n">
        <v>3</v>
      </c>
      <c r="C29" s="7" t="inlineStr">
        <is>
          <t>F</t>
        </is>
      </c>
      <c r="D29" s="12" t="inlineStr">
        <is>
          <t>02</t>
        </is>
      </c>
      <c r="E29" s="7" t="n">
        <v>1</v>
      </c>
      <c r="F29" s="7">
        <f>A29&amp;B29&amp;"-"&amp;C29&amp;E29&amp;"-"&amp;D29</f>
        <v/>
      </c>
      <c r="G29" s="7" t="inlineStr">
        <is>
          <t>HW</t>
        </is>
      </c>
      <c r="H29" s="47" t="n"/>
      <c r="I29" s="47" t="n"/>
      <c r="J29" s="47" t="inlineStr">
        <is>
          <t>HW</t>
        </is>
      </c>
    </row>
    <row r="30">
      <c r="A30" s="6" t="inlineStr">
        <is>
          <t>R</t>
        </is>
      </c>
      <c r="B30" s="6" t="n">
        <v>3</v>
      </c>
      <c r="C30" s="7" t="inlineStr">
        <is>
          <t>F</t>
        </is>
      </c>
      <c r="D30" s="12" t="inlineStr">
        <is>
          <t>03</t>
        </is>
      </c>
      <c r="E30" s="7" t="n">
        <v>1</v>
      </c>
      <c r="F30" s="7">
        <f>A30&amp;B30&amp;"-"&amp;C30&amp;E30&amp;"-"&amp;D30</f>
        <v/>
      </c>
      <c r="G30" s="7" t="inlineStr">
        <is>
          <t>HW</t>
        </is>
      </c>
      <c r="H30" s="47" t="n"/>
      <c r="I30" s="47" t="n"/>
      <c r="J30" s="47" t="inlineStr">
        <is>
          <t>HW</t>
        </is>
      </c>
    </row>
    <row r="31">
      <c r="A31" s="6" t="inlineStr">
        <is>
          <t>R</t>
        </is>
      </c>
      <c r="B31" s="6" t="n">
        <v>3</v>
      </c>
      <c r="C31" s="7" t="inlineStr">
        <is>
          <t>F</t>
        </is>
      </c>
      <c r="D31" s="12" t="inlineStr">
        <is>
          <t>01</t>
        </is>
      </c>
      <c r="E31" s="7" t="n">
        <v>2</v>
      </c>
      <c r="F31" s="7">
        <f>A31&amp;B31&amp;"-"&amp;C31&amp;E31&amp;"-"&amp;D31</f>
        <v/>
      </c>
      <c r="G31" s="7" t="inlineStr">
        <is>
          <t>HW</t>
        </is>
      </c>
      <c r="H31" s="47" t="n"/>
      <c r="I31" s="47" t="n"/>
      <c r="J31" s="47" t="inlineStr">
        <is>
          <t>HW</t>
        </is>
      </c>
    </row>
    <row r="32">
      <c r="A32" s="6" t="inlineStr">
        <is>
          <t>R</t>
        </is>
      </c>
      <c r="B32" s="6" t="n">
        <v>3</v>
      </c>
      <c r="C32" s="7" t="inlineStr">
        <is>
          <t>F</t>
        </is>
      </c>
      <c r="D32" s="12" t="inlineStr">
        <is>
          <t>02</t>
        </is>
      </c>
      <c r="E32" s="7" t="n">
        <v>2</v>
      </c>
      <c r="F32" s="7">
        <f>A32&amp;B32&amp;"-"&amp;C32&amp;E32&amp;"-"&amp;D32</f>
        <v/>
      </c>
      <c r="G32" s="7" t="n">
        <v>50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11">
        <f>IF(G32&lt;&gt;"","Allocated","Available")</f>
        <v/>
      </c>
    </row>
    <row r="33">
      <c r="A33" s="6" t="inlineStr">
        <is>
          <t>R</t>
        </is>
      </c>
      <c r="B33" s="6" t="n">
        <v>3</v>
      </c>
      <c r="C33" s="7" t="inlineStr">
        <is>
          <t>F</t>
        </is>
      </c>
      <c r="D33" s="12" t="inlineStr">
        <is>
          <t>03</t>
        </is>
      </c>
      <c r="E33" s="7" t="n">
        <v>2</v>
      </c>
      <c r="F33" s="7">
        <f>A33&amp;B33&amp;"-"&amp;C33&amp;E33&amp;"-"&amp;D33</f>
        <v/>
      </c>
      <c r="G33" s="7" t="inlineStr">
        <is>
          <t>HW</t>
        </is>
      </c>
      <c r="H33" s="47" t="n"/>
      <c r="I33" s="47" t="n"/>
      <c r="J33" s="47" t="inlineStr">
        <is>
          <t>HW</t>
        </is>
      </c>
    </row>
    <row r="34">
      <c r="A34" s="6" t="inlineStr">
        <is>
          <t>R</t>
        </is>
      </c>
      <c r="B34" s="6" t="n">
        <v>3</v>
      </c>
      <c r="C34" s="7" t="inlineStr">
        <is>
          <t>F</t>
        </is>
      </c>
      <c r="D34" s="12" t="inlineStr">
        <is>
          <t>04</t>
        </is>
      </c>
      <c r="E34" s="7" t="n">
        <v>2</v>
      </c>
      <c r="F34" s="7">
        <f>A34&amp;B34&amp;"-"&amp;C34&amp;E34&amp;"-"&amp;D34</f>
        <v/>
      </c>
      <c r="G34" s="7" t="inlineStr">
        <is>
          <t>HW</t>
        </is>
      </c>
      <c r="H34" s="47" t="n"/>
      <c r="I34" s="47" t="n"/>
      <c r="J34" s="47" t="inlineStr">
        <is>
          <t>HW</t>
        </is>
      </c>
    </row>
    <row r="35">
      <c r="A35" s="6" t="inlineStr">
        <is>
          <t>R</t>
        </is>
      </c>
      <c r="B35" s="6" t="n">
        <v>3</v>
      </c>
      <c r="C35" s="7" t="inlineStr">
        <is>
          <t>F</t>
        </is>
      </c>
      <c r="D35" s="12" t="inlineStr">
        <is>
          <t>05</t>
        </is>
      </c>
      <c r="E35" s="7" t="n">
        <v>2</v>
      </c>
      <c r="F35" s="7">
        <f>A35&amp;B35&amp;"-"&amp;C35&amp;E35&amp;"-"&amp;D35</f>
        <v/>
      </c>
      <c r="G35" s="7" t="inlineStr">
        <is>
          <t>HW</t>
        </is>
      </c>
      <c r="H35" s="47" t="n"/>
      <c r="I35" s="47" t="n"/>
      <c r="J35" s="47" t="inlineStr">
        <is>
          <t>HW</t>
        </is>
      </c>
    </row>
    <row r="36">
      <c r="A36" s="6" t="inlineStr">
        <is>
          <t>R</t>
        </is>
      </c>
      <c r="B36" s="6" t="n">
        <v>3</v>
      </c>
      <c r="C36" s="7" t="inlineStr">
        <is>
          <t>F</t>
        </is>
      </c>
      <c r="D36" s="12" t="inlineStr">
        <is>
          <t>06</t>
        </is>
      </c>
      <c r="E36" s="7" t="n">
        <v>2</v>
      </c>
      <c r="F36" s="7">
        <f>A36&amp;B36&amp;"-"&amp;C36&amp;E36&amp;"-"&amp;D36</f>
        <v/>
      </c>
      <c r="G36" s="7" t="n">
        <v>160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11">
        <f>IF(G36&lt;&gt;"","Allocated","Available")</f>
        <v/>
      </c>
    </row>
    <row r="37">
      <c r="A37" s="6" t="inlineStr">
        <is>
          <t>R</t>
        </is>
      </c>
      <c r="B37" s="6" t="n">
        <v>3</v>
      </c>
      <c r="C37" s="7" t="inlineStr">
        <is>
          <t>F</t>
        </is>
      </c>
      <c r="D37" s="12" t="inlineStr">
        <is>
          <t>07</t>
        </is>
      </c>
      <c r="E37" s="7" t="n">
        <v>2</v>
      </c>
      <c r="F37" s="7">
        <f>A37&amp;B37&amp;"-"&amp;C37&amp;E37&amp;"-"&amp;D37</f>
        <v/>
      </c>
      <c r="G37" s="7" t="inlineStr">
        <is>
          <t>HW</t>
        </is>
      </c>
      <c r="H37" s="47" t="n"/>
      <c r="I37" s="47" t="n"/>
      <c r="J37" s="47" t="inlineStr">
        <is>
          <t>HW</t>
        </is>
      </c>
    </row>
    <row r="38">
      <c r="A38" s="6" t="inlineStr">
        <is>
          <t>R</t>
        </is>
      </c>
      <c r="B38" s="6" t="n">
        <v>3</v>
      </c>
      <c r="C38" s="7" t="inlineStr">
        <is>
          <t>F</t>
        </is>
      </c>
      <c r="D38" s="12" t="inlineStr">
        <is>
          <t>08</t>
        </is>
      </c>
      <c r="E38" s="7" t="n">
        <v>2</v>
      </c>
      <c r="F38" s="7">
        <f>A38&amp;B38&amp;"-"&amp;C38&amp;E38&amp;"-"&amp;D38</f>
        <v/>
      </c>
      <c r="G38" s="7" t="inlineStr">
        <is>
          <t>HW</t>
        </is>
      </c>
      <c r="H38" s="47" t="n"/>
      <c r="I38" s="47" t="n"/>
      <c r="J38" s="47" t="inlineStr">
        <is>
          <t>HW</t>
        </is>
      </c>
    </row>
    <row r="39">
      <c r="A39" s="6" t="inlineStr">
        <is>
          <t>R</t>
        </is>
      </c>
      <c r="B39" s="6" t="n">
        <v>3</v>
      </c>
      <c r="C39" s="7" t="inlineStr">
        <is>
          <t>F</t>
        </is>
      </c>
      <c r="D39" s="12" t="inlineStr">
        <is>
          <t>01</t>
        </is>
      </c>
      <c r="E39" s="7" t="n">
        <v>3</v>
      </c>
      <c r="F39" s="7">
        <f>A39&amp;B39&amp;"-"&amp;C39&amp;E39&amp;"-"&amp;D39</f>
        <v/>
      </c>
      <c r="G39" s="7" t="n"/>
      <c r="H39" s="47">
        <f>_xlfn.XLOOKUP(G39,'All Associates'!A:A,'All Associates'!B:B)</f>
        <v/>
      </c>
      <c r="I39" s="47">
        <f>_xlfn.XLOOKUP(G39,'All Associates'!A:A,'All Associates'!D:D)</f>
        <v/>
      </c>
      <c r="J39" s="11">
        <f>IF(G39&lt;&gt;"","Allocated","Available")</f>
        <v/>
      </c>
    </row>
    <row r="40">
      <c r="A40" s="6" t="inlineStr">
        <is>
          <t>R</t>
        </is>
      </c>
      <c r="B40" s="6" t="n">
        <v>3</v>
      </c>
      <c r="C40" s="7" t="inlineStr">
        <is>
          <t>F</t>
        </is>
      </c>
      <c r="D40" s="12" t="inlineStr">
        <is>
          <t>02</t>
        </is>
      </c>
      <c r="E40" s="7" t="n">
        <v>3</v>
      </c>
      <c r="F40" s="7">
        <f>A40&amp;B40&amp;"-"&amp;C40&amp;E40&amp;"-"&amp;D40</f>
        <v/>
      </c>
      <c r="G40" s="7" t="n">
        <v>237</v>
      </c>
      <c r="H40" s="47">
        <f>_xlfn.XLOOKUP(G40,'All Associates'!A:A,'All Associates'!B:B)</f>
        <v/>
      </c>
      <c r="I40" s="47">
        <f>_xlfn.XLOOKUP(G40,'All Associates'!A:A,'All Associates'!D:D)</f>
        <v/>
      </c>
      <c r="J40" s="11">
        <f>IF(G40&lt;&gt;"","Allocated","Available")</f>
        <v/>
      </c>
    </row>
    <row r="41">
      <c r="A41" s="6" t="inlineStr">
        <is>
          <t>R</t>
        </is>
      </c>
      <c r="B41" s="6" t="n">
        <v>3</v>
      </c>
      <c r="C41" s="7" t="inlineStr">
        <is>
          <t>F</t>
        </is>
      </c>
      <c r="D41" s="12" t="inlineStr">
        <is>
          <t>03</t>
        </is>
      </c>
      <c r="E41" s="7" t="n">
        <v>3</v>
      </c>
      <c r="F41" s="7">
        <f>A41&amp;B41&amp;"-"&amp;C41&amp;E41&amp;"-"&amp;D41</f>
        <v/>
      </c>
      <c r="G41" s="7" t="inlineStr">
        <is>
          <t>HW</t>
        </is>
      </c>
      <c r="H41" s="47" t="n"/>
      <c r="I41" s="47" t="n"/>
      <c r="J41" s="47" t="inlineStr">
        <is>
          <t>HW</t>
        </is>
      </c>
    </row>
    <row r="42">
      <c r="A42" s="6" t="inlineStr">
        <is>
          <t>R</t>
        </is>
      </c>
      <c r="B42" s="6" t="n">
        <v>3</v>
      </c>
      <c r="C42" s="7" t="inlineStr">
        <is>
          <t>F</t>
        </is>
      </c>
      <c r="D42" s="12" t="inlineStr">
        <is>
          <t>04</t>
        </is>
      </c>
      <c r="E42" s="7" t="n">
        <v>3</v>
      </c>
      <c r="F42" s="7">
        <f>A42&amp;B42&amp;"-"&amp;C42&amp;E42&amp;"-"&amp;D42</f>
        <v/>
      </c>
      <c r="G42" s="7" t="inlineStr">
        <is>
          <t>HW</t>
        </is>
      </c>
      <c r="H42" s="47" t="n"/>
      <c r="I42" s="47" t="n"/>
      <c r="J42" s="47" t="inlineStr">
        <is>
          <t>HW</t>
        </is>
      </c>
    </row>
    <row r="43">
      <c r="A43" s="6" t="inlineStr">
        <is>
          <t>R</t>
        </is>
      </c>
      <c r="B43" s="6" t="n">
        <v>3</v>
      </c>
      <c r="C43" s="7" t="inlineStr">
        <is>
          <t>F</t>
        </is>
      </c>
      <c r="D43" s="12" t="inlineStr">
        <is>
          <t>05</t>
        </is>
      </c>
      <c r="E43" s="7" t="n">
        <v>3</v>
      </c>
      <c r="F43" s="7">
        <f>A43&amp;B43&amp;"-"&amp;C43&amp;E43&amp;"-"&amp;D43</f>
        <v/>
      </c>
      <c r="G43" s="7" t="n">
        <v>566</v>
      </c>
      <c r="H43" s="47">
        <f>_xlfn.XLOOKUP(G43,'All Associates'!A:A,'All Associates'!B:B)</f>
        <v/>
      </c>
      <c r="I43" s="47">
        <f>_xlfn.XLOOKUP(G43,'All Associates'!A:A,'All Associates'!D:D)</f>
        <v/>
      </c>
      <c r="J43" s="11">
        <f>IF(G43&lt;&gt;"","Allocated","Available")</f>
        <v/>
      </c>
    </row>
    <row r="44">
      <c r="A44" s="6" t="inlineStr">
        <is>
          <t>R</t>
        </is>
      </c>
      <c r="B44" s="6" t="n">
        <v>3</v>
      </c>
      <c r="C44" s="7" t="inlineStr">
        <is>
          <t>F</t>
        </is>
      </c>
      <c r="D44" s="12" t="inlineStr">
        <is>
          <t>06</t>
        </is>
      </c>
      <c r="E44" s="7" t="n">
        <v>3</v>
      </c>
      <c r="F44" s="7">
        <f>A44&amp;B44&amp;"-"&amp;C44&amp;E44&amp;"-"&amp;D44</f>
        <v/>
      </c>
      <c r="G44" s="7" t="n">
        <v>913</v>
      </c>
      <c r="H44" s="47">
        <f>_xlfn.XLOOKUP(G44,'All Associates'!A:A,'All Associates'!B:B)</f>
        <v/>
      </c>
      <c r="I44" s="47">
        <f>_xlfn.XLOOKUP(G44,'All Associates'!A:A,'All Associates'!D:D)</f>
        <v/>
      </c>
      <c r="J44" s="11">
        <f>IF(G44&lt;&gt;"","Allocated","Available")</f>
        <v/>
      </c>
    </row>
    <row r="45">
      <c r="A45" s="6" t="inlineStr">
        <is>
          <t>R</t>
        </is>
      </c>
      <c r="B45" s="6" t="n">
        <v>3</v>
      </c>
      <c r="C45" s="7" t="inlineStr">
        <is>
          <t>F</t>
        </is>
      </c>
      <c r="D45" s="12" t="inlineStr">
        <is>
          <t>07</t>
        </is>
      </c>
      <c r="E45" s="7" t="n">
        <v>3</v>
      </c>
      <c r="F45" s="7">
        <f>A45&amp;B45&amp;"-"&amp;C45&amp;E45&amp;"-"&amp;D45</f>
        <v/>
      </c>
      <c r="G45" s="7" t="inlineStr">
        <is>
          <t>HW</t>
        </is>
      </c>
      <c r="H45" s="47" t="n"/>
      <c r="I45" s="47" t="n"/>
      <c r="J45" s="47" t="inlineStr">
        <is>
          <t>HW</t>
        </is>
      </c>
    </row>
    <row r="46">
      <c r="A46" s="6" t="inlineStr">
        <is>
          <t>R</t>
        </is>
      </c>
      <c r="B46" s="6" t="n">
        <v>3</v>
      </c>
      <c r="C46" s="7" t="inlineStr">
        <is>
          <t>F</t>
        </is>
      </c>
      <c r="D46" s="12" t="inlineStr">
        <is>
          <t>08</t>
        </is>
      </c>
      <c r="E46" s="7" t="n">
        <v>3</v>
      </c>
      <c r="F46" s="7">
        <f>A46&amp;B46&amp;"-"&amp;C46&amp;E46&amp;"-"&amp;D46</f>
        <v/>
      </c>
      <c r="G46" s="7" t="inlineStr">
        <is>
          <t>HW</t>
        </is>
      </c>
      <c r="H46" s="47" t="n"/>
      <c r="I46" s="47" t="n"/>
      <c r="J46" s="47" t="inlineStr">
        <is>
          <t>HW</t>
        </is>
      </c>
    </row>
    <row r="47">
      <c r="A47" s="6" t="inlineStr">
        <is>
          <t>R</t>
        </is>
      </c>
      <c r="B47" s="6" t="n">
        <v>3</v>
      </c>
      <c r="C47" s="7" t="inlineStr">
        <is>
          <t>F</t>
        </is>
      </c>
      <c r="D47" s="12" t="inlineStr">
        <is>
          <t>01</t>
        </is>
      </c>
      <c r="E47" s="7" t="n">
        <v>4</v>
      </c>
      <c r="F47" s="7">
        <f>A47&amp;B47&amp;"-"&amp;C47&amp;E47&amp;"-"&amp;D47</f>
        <v/>
      </c>
      <c r="G47" s="7" t="n">
        <v>599</v>
      </c>
      <c r="H47" s="47">
        <f>_xlfn.XLOOKUP(G47,'All Associates'!A:A,'All Associates'!B:B)</f>
        <v/>
      </c>
      <c r="I47" s="47">
        <f>_xlfn.XLOOKUP(G47,'All Associates'!A:A,'All Associates'!D:D)</f>
        <v/>
      </c>
      <c r="J47" s="11">
        <f>IF(G47&lt;&gt;"","Allocated","Available")</f>
        <v/>
      </c>
    </row>
    <row r="48">
      <c r="A48" s="6" t="inlineStr">
        <is>
          <t>R</t>
        </is>
      </c>
      <c r="B48" s="6" t="n">
        <v>3</v>
      </c>
      <c r="C48" s="7" t="inlineStr">
        <is>
          <t>F</t>
        </is>
      </c>
      <c r="D48" s="12" t="inlineStr">
        <is>
          <t>02</t>
        </is>
      </c>
      <c r="E48" s="7" t="n">
        <v>4</v>
      </c>
      <c r="F48" s="7">
        <f>A48&amp;B48&amp;"-"&amp;C48&amp;E48&amp;"-"&amp;D48</f>
        <v/>
      </c>
      <c r="G48" s="7" t="n">
        <v>910</v>
      </c>
      <c r="H48" s="47">
        <f>_xlfn.XLOOKUP(G48,'All Associates'!A:A,'All Associates'!B:B)</f>
        <v/>
      </c>
      <c r="I48" s="47">
        <f>_xlfn.XLOOKUP(G48,'All Associates'!A:A,'All Associates'!D:D)</f>
        <v/>
      </c>
      <c r="J48" s="11">
        <f>IF(G48&lt;&gt;"","Allocated","Available")</f>
        <v/>
      </c>
    </row>
    <row r="49">
      <c r="A49" s="6" t="inlineStr">
        <is>
          <t>R</t>
        </is>
      </c>
      <c r="B49" s="6" t="n">
        <v>3</v>
      </c>
      <c r="C49" s="7" t="inlineStr">
        <is>
          <t>F</t>
        </is>
      </c>
      <c r="D49" s="12" t="inlineStr">
        <is>
          <t>03</t>
        </is>
      </c>
      <c r="E49" s="7" t="n">
        <v>4</v>
      </c>
      <c r="F49" s="7">
        <f>A49&amp;B49&amp;"-"&amp;C49&amp;E49&amp;"-"&amp;D49</f>
        <v/>
      </c>
      <c r="G49" s="7" t="inlineStr">
        <is>
          <t>HW</t>
        </is>
      </c>
      <c r="H49" s="47" t="n"/>
      <c r="I49" s="47" t="n"/>
      <c r="J49" s="47" t="inlineStr">
        <is>
          <t>HW</t>
        </is>
      </c>
    </row>
    <row r="50">
      <c r="A50" s="6" t="inlineStr">
        <is>
          <t>R</t>
        </is>
      </c>
      <c r="B50" s="6" t="n">
        <v>3</v>
      </c>
      <c r="C50" s="7" t="inlineStr">
        <is>
          <t>F</t>
        </is>
      </c>
      <c r="D50" s="12" t="inlineStr">
        <is>
          <t>04</t>
        </is>
      </c>
      <c r="E50" s="7" t="n">
        <v>4</v>
      </c>
      <c r="F50" s="7">
        <f>A50&amp;B50&amp;"-"&amp;C50&amp;E50&amp;"-"&amp;D50</f>
        <v/>
      </c>
      <c r="G50" s="7" t="inlineStr">
        <is>
          <t>HW</t>
        </is>
      </c>
      <c r="H50" s="47" t="n"/>
      <c r="I50" s="47" t="n"/>
      <c r="J50" s="47" t="inlineStr">
        <is>
          <t>HW</t>
        </is>
      </c>
    </row>
    <row r="51">
      <c r="A51" s="6" t="inlineStr">
        <is>
          <t>R</t>
        </is>
      </c>
      <c r="B51" s="6" t="n">
        <v>3</v>
      </c>
      <c r="C51" s="7" t="inlineStr">
        <is>
          <t>F</t>
        </is>
      </c>
      <c r="D51" s="12" t="inlineStr">
        <is>
          <t>05</t>
        </is>
      </c>
      <c r="E51" s="7" t="n">
        <v>4</v>
      </c>
      <c r="F51" s="7">
        <f>A51&amp;B51&amp;"-"&amp;C51&amp;E51&amp;"-"&amp;D51</f>
        <v/>
      </c>
      <c r="G51" s="7" t="n">
        <v>870</v>
      </c>
      <c r="H51" s="47">
        <f>_xlfn.XLOOKUP(G51,'All Associates'!A:A,'All Associates'!B:B)</f>
        <v/>
      </c>
      <c r="I51" s="47">
        <f>_xlfn.XLOOKUP(G51,'All Associates'!A:A,'All Associates'!D:D)</f>
        <v/>
      </c>
      <c r="J51" s="11">
        <f>IF(G51&lt;&gt;"","Allocated","Available")</f>
        <v/>
      </c>
    </row>
    <row r="52">
      <c r="A52" s="6" t="inlineStr">
        <is>
          <t>R</t>
        </is>
      </c>
      <c r="B52" s="6" t="n">
        <v>3</v>
      </c>
      <c r="C52" s="7" t="inlineStr">
        <is>
          <t>F</t>
        </is>
      </c>
      <c r="D52" s="12" t="inlineStr">
        <is>
          <t>06</t>
        </is>
      </c>
      <c r="E52" s="7" t="n">
        <v>4</v>
      </c>
      <c r="F52" s="7">
        <f>A52&amp;B52&amp;"-"&amp;C52&amp;E52&amp;"-"&amp;D52</f>
        <v/>
      </c>
      <c r="G52" s="7" t="n">
        <v>2054</v>
      </c>
      <c r="H52" s="47">
        <f>_xlfn.XLOOKUP(G52,'All Associates'!A:A,'All Associates'!B:B)</f>
        <v/>
      </c>
      <c r="I52" s="47">
        <f>_xlfn.XLOOKUP(G52,'All Associates'!A:A,'All Associates'!D:D)</f>
        <v/>
      </c>
      <c r="J52" s="11">
        <f>IF(G52&lt;&gt;"","Allocated","Available")</f>
        <v/>
      </c>
    </row>
    <row r="53">
      <c r="A53" s="6" t="inlineStr">
        <is>
          <t>R</t>
        </is>
      </c>
      <c r="B53" s="6" t="n">
        <v>3</v>
      </c>
      <c r="C53" s="7" t="inlineStr">
        <is>
          <t>F</t>
        </is>
      </c>
      <c r="D53" s="12" t="inlineStr">
        <is>
          <t>01</t>
        </is>
      </c>
      <c r="E53" s="7" t="n">
        <v>5</v>
      </c>
      <c r="F53" s="7">
        <f>A53&amp;B53&amp;"-"&amp;C53&amp;E53&amp;"-"&amp;D53</f>
        <v/>
      </c>
      <c r="G53" s="7" t="n">
        <v>172</v>
      </c>
      <c r="H53" s="47">
        <f>_xlfn.XLOOKUP(G53,'All Associates'!A:A,'All Associates'!B:B)</f>
        <v/>
      </c>
      <c r="I53" s="47">
        <f>_xlfn.XLOOKUP(G53,'All Associates'!A:A,'All Associates'!D:D)</f>
        <v/>
      </c>
      <c r="J53" s="11">
        <f>IF(G53&lt;&gt;"","Allocated","Available")</f>
        <v/>
      </c>
    </row>
    <row r="54">
      <c r="A54" s="6" t="inlineStr">
        <is>
          <t>R</t>
        </is>
      </c>
      <c r="B54" s="6" t="n">
        <v>3</v>
      </c>
      <c r="C54" s="7" t="inlineStr">
        <is>
          <t>F</t>
        </is>
      </c>
      <c r="D54" s="12" t="inlineStr">
        <is>
          <t>02</t>
        </is>
      </c>
      <c r="E54" s="7" t="n">
        <v>5</v>
      </c>
      <c r="F54" s="7">
        <f>A54&amp;B54&amp;"-"&amp;C54&amp;E54&amp;"-"&amp;D54</f>
        <v/>
      </c>
      <c r="G54" s="7" t="n">
        <v>514</v>
      </c>
      <c r="H54" s="47">
        <f>_xlfn.XLOOKUP(G54,'All Associates'!A:A,'All Associates'!B:B)</f>
        <v/>
      </c>
      <c r="I54" s="47">
        <f>_xlfn.XLOOKUP(G54,'All Associates'!A:A,'All Associates'!D:D)</f>
        <v/>
      </c>
      <c r="J54" s="11">
        <f>IF(G54&lt;&gt;"","Allocated","Available")</f>
        <v/>
      </c>
    </row>
    <row r="55">
      <c r="A55" s="6" t="inlineStr">
        <is>
          <t>R</t>
        </is>
      </c>
      <c r="B55" s="6" t="n">
        <v>3</v>
      </c>
      <c r="C55" s="7" t="inlineStr">
        <is>
          <t>F</t>
        </is>
      </c>
      <c r="D55" s="12" t="inlineStr">
        <is>
          <t>03</t>
        </is>
      </c>
      <c r="E55" s="7" t="n">
        <v>5</v>
      </c>
      <c r="F55" s="7">
        <f>A55&amp;B55&amp;"-"&amp;C55&amp;E55&amp;"-"&amp;D55</f>
        <v/>
      </c>
      <c r="G55" s="7" t="inlineStr">
        <is>
          <t>HW</t>
        </is>
      </c>
      <c r="H55" s="47" t="n"/>
      <c r="I55" s="47" t="n"/>
      <c r="J55" s="47" t="inlineStr">
        <is>
          <t>HW</t>
        </is>
      </c>
    </row>
    <row r="56">
      <c r="A56" s="6" t="inlineStr">
        <is>
          <t>R</t>
        </is>
      </c>
      <c r="B56" s="6" t="n">
        <v>3</v>
      </c>
      <c r="C56" s="7" t="inlineStr">
        <is>
          <t>F</t>
        </is>
      </c>
      <c r="D56" s="12" t="inlineStr">
        <is>
          <t>04</t>
        </is>
      </c>
      <c r="E56" s="7" t="n">
        <v>5</v>
      </c>
      <c r="F56" s="7">
        <f>A56&amp;B56&amp;"-"&amp;C56&amp;E56&amp;"-"&amp;D56</f>
        <v/>
      </c>
      <c r="G56" s="7" t="n">
        <v>729</v>
      </c>
      <c r="H56" s="47">
        <f>_xlfn.XLOOKUP(G56,'All Associates'!A:A,'All Associates'!B:B)</f>
        <v/>
      </c>
      <c r="I56" s="47">
        <f>_xlfn.XLOOKUP(G56,'All Associates'!A:A,'All Associates'!D:D)</f>
        <v/>
      </c>
      <c r="J56" s="11">
        <f>IF(G56&lt;&gt;"","Allocated","Available")</f>
        <v/>
      </c>
    </row>
    <row r="57">
      <c r="A57" s="6" t="inlineStr">
        <is>
          <t>R</t>
        </is>
      </c>
      <c r="B57" s="6" t="n">
        <v>3</v>
      </c>
      <c r="C57" s="7" t="inlineStr">
        <is>
          <t>F</t>
        </is>
      </c>
      <c r="D57" s="12" t="inlineStr">
        <is>
          <t>05</t>
        </is>
      </c>
      <c r="E57" s="7" t="n">
        <v>5</v>
      </c>
      <c r="F57" s="7">
        <f>A57&amp;B57&amp;"-"&amp;C57&amp;E57&amp;"-"&amp;D57</f>
        <v/>
      </c>
      <c r="G57" s="7" t="n">
        <v>779</v>
      </c>
      <c r="H57" s="47">
        <f>_xlfn.XLOOKUP(G57,'All Associates'!A:A,'All Associates'!B:B)</f>
        <v/>
      </c>
      <c r="I57" s="47">
        <f>_xlfn.XLOOKUP(G57,'All Associates'!A:A,'All Associates'!D:D)</f>
        <v/>
      </c>
      <c r="J57" s="11">
        <f>IF(G57&lt;&gt;"","Allocated","Available")</f>
        <v/>
      </c>
    </row>
    <row r="58">
      <c r="A58" s="6" t="inlineStr">
        <is>
          <t>R</t>
        </is>
      </c>
      <c r="B58" s="6" t="n">
        <v>3</v>
      </c>
      <c r="C58" s="7" t="inlineStr">
        <is>
          <t>F</t>
        </is>
      </c>
      <c r="D58" s="12" t="inlineStr">
        <is>
          <t>06</t>
        </is>
      </c>
      <c r="E58" s="7" t="n">
        <v>5</v>
      </c>
      <c r="F58" s="7">
        <f>A58&amp;B58&amp;"-"&amp;C58&amp;E58&amp;"-"&amp;D58</f>
        <v/>
      </c>
      <c r="G58" s="7" t="inlineStr">
        <is>
          <t>HW</t>
        </is>
      </c>
      <c r="H58" s="47">
        <f>_xlfn.XLOOKUP(G58,'All Associates'!A:A,'All Associates'!B:B)</f>
        <v/>
      </c>
      <c r="I58" s="47">
        <f>_xlfn.XLOOKUP(G58,'All Associates'!A:A,'All Associates'!D:D)</f>
        <v/>
      </c>
      <c r="J58" s="11">
        <f>IF(G58&lt;&gt;"","Allocated","Available")</f>
        <v/>
      </c>
    </row>
    <row r="59">
      <c r="A59" s="6" t="inlineStr">
        <is>
          <t>R</t>
        </is>
      </c>
      <c r="B59" s="6" t="n">
        <v>3</v>
      </c>
      <c r="C59" s="7" t="inlineStr">
        <is>
          <t>F</t>
        </is>
      </c>
      <c r="D59" s="12" t="inlineStr">
        <is>
          <t>07</t>
        </is>
      </c>
      <c r="E59" s="7" t="n">
        <v>5</v>
      </c>
      <c r="F59" s="7">
        <f>A59&amp;B59&amp;"-"&amp;C59&amp;E59&amp;"-"&amp;D59</f>
        <v/>
      </c>
      <c r="G59" s="7" t="inlineStr">
        <is>
          <t>HW</t>
        </is>
      </c>
      <c r="H59" s="47" t="n"/>
      <c r="I59" s="47" t="n"/>
      <c r="J59" s="47" t="inlineStr">
        <is>
          <t>HW</t>
        </is>
      </c>
    </row>
    <row r="60">
      <c r="A60" s="6" t="inlineStr">
        <is>
          <t>R</t>
        </is>
      </c>
      <c r="B60" s="6" t="n">
        <v>3</v>
      </c>
      <c r="C60" s="7" t="inlineStr">
        <is>
          <t>F</t>
        </is>
      </c>
      <c r="D60" s="12" t="inlineStr">
        <is>
          <t>08</t>
        </is>
      </c>
      <c r="E60" s="7" t="n">
        <v>5</v>
      </c>
      <c r="F60" s="7">
        <f>A60&amp;B60&amp;"-"&amp;C60&amp;E60&amp;"-"&amp;D60</f>
        <v/>
      </c>
      <c r="G60" s="7" t="n">
        <v>923</v>
      </c>
      <c r="H60" s="47">
        <f>_xlfn.XLOOKUP(G60,'All Associates'!A:A,'All Associates'!B:B)</f>
        <v/>
      </c>
      <c r="I60" s="47">
        <f>_xlfn.XLOOKUP(G60,'All Associates'!A:A,'All Associates'!D:D)</f>
        <v/>
      </c>
      <c r="J60" s="11">
        <f>IF(G60&lt;&gt;"","Allocated","Available")</f>
        <v/>
      </c>
    </row>
    <row r="61">
      <c r="A61" s="6" t="inlineStr">
        <is>
          <t>R</t>
        </is>
      </c>
      <c r="B61" s="6" t="n">
        <v>3</v>
      </c>
      <c r="C61" s="7" t="inlineStr">
        <is>
          <t>F</t>
        </is>
      </c>
      <c r="D61" s="12" t="inlineStr">
        <is>
          <t>01</t>
        </is>
      </c>
      <c r="E61" s="7" t="n">
        <v>6</v>
      </c>
      <c r="F61" s="7">
        <f>A61&amp;B61&amp;"-"&amp;C61&amp;E61&amp;"-"&amp;D61</f>
        <v/>
      </c>
      <c r="G61" s="7" t="n">
        <v>168</v>
      </c>
      <c r="H61" s="47">
        <f>_xlfn.XLOOKUP(G61,'All Associates'!A:A,'All Associates'!B:B)</f>
        <v/>
      </c>
      <c r="I61" s="47">
        <f>_xlfn.XLOOKUP(G61,'All Associates'!A:A,'All Associates'!D:D)</f>
        <v/>
      </c>
      <c r="J61" s="11">
        <f>IF(G61&lt;&gt;"","Allocated","Available")</f>
        <v/>
      </c>
    </row>
    <row r="62">
      <c r="A62" s="6" t="inlineStr">
        <is>
          <t>R</t>
        </is>
      </c>
      <c r="B62" s="6" t="n">
        <v>3</v>
      </c>
      <c r="C62" s="7" t="inlineStr">
        <is>
          <t>F</t>
        </is>
      </c>
      <c r="D62" s="12" t="inlineStr">
        <is>
          <t>02</t>
        </is>
      </c>
      <c r="E62" s="7" t="n">
        <v>6</v>
      </c>
      <c r="F62" s="7">
        <f>A62&amp;B62&amp;"-"&amp;C62&amp;E62&amp;"-"&amp;D62</f>
        <v/>
      </c>
      <c r="G62" s="7" t="n">
        <v>704</v>
      </c>
      <c r="H62" s="47">
        <f>_xlfn.XLOOKUP(G62,'All Associates'!A:A,'All Associates'!B:B)</f>
        <v/>
      </c>
      <c r="I62" s="47">
        <f>_xlfn.XLOOKUP(G62,'All Associates'!A:A,'All Associates'!D:D)</f>
        <v/>
      </c>
      <c r="J62" s="11">
        <f>IF(G62&lt;&gt;"","Allocated","Available")</f>
        <v/>
      </c>
    </row>
    <row r="63">
      <c r="A63" s="6" t="inlineStr">
        <is>
          <t>R</t>
        </is>
      </c>
      <c r="B63" s="6" t="n">
        <v>3</v>
      </c>
      <c r="C63" s="7" t="inlineStr">
        <is>
          <t>F</t>
        </is>
      </c>
      <c r="D63" s="12" t="inlineStr">
        <is>
          <t>03</t>
        </is>
      </c>
      <c r="E63" s="7" t="n">
        <v>6</v>
      </c>
      <c r="F63" s="7">
        <f>A63&amp;B63&amp;"-"&amp;C63&amp;E63&amp;"-"&amp;D63</f>
        <v/>
      </c>
      <c r="G63" s="7" t="inlineStr">
        <is>
          <t>HW</t>
        </is>
      </c>
      <c r="H63" s="47" t="n"/>
      <c r="I63" s="47" t="n"/>
      <c r="J63" s="47" t="inlineStr">
        <is>
          <t>HW</t>
        </is>
      </c>
    </row>
    <row r="64">
      <c r="A64" s="6" t="inlineStr">
        <is>
          <t>R</t>
        </is>
      </c>
      <c r="B64" s="6" t="n">
        <v>3</v>
      </c>
      <c r="C64" s="7" t="inlineStr">
        <is>
          <t>F</t>
        </is>
      </c>
      <c r="D64" s="12" t="inlineStr">
        <is>
          <t>04</t>
        </is>
      </c>
      <c r="E64" s="7" t="n">
        <v>6</v>
      </c>
      <c r="F64" s="7">
        <f>A64&amp;B64&amp;"-"&amp;C64&amp;E64&amp;"-"&amp;D64</f>
        <v/>
      </c>
      <c r="G64" s="7" t="inlineStr">
        <is>
          <t>HW</t>
        </is>
      </c>
      <c r="H64" s="47" t="n"/>
      <c r="I64" s="47" t="n"/>
      <c r="J64" s="47" t="inlineStr">
        <is>
          <t>HW</t>
        </is>
      </c>
    </row>
    <row r="65">
      <c r="A65" s="6" t="inlineStr">
        <is>
          <t>R</t>
        </is>
      </c>
      <c r="B65" s="6" t="n">
        <v>3</v>
      </c>
      <c r="C65" s="7" t="inlineStr">
        <is>
          <t>F</t>
        </is>
      </c>
      <c r="D65" s="12" t="inlineStr">
        <is>
          <t>05</t>
        </is>
      </c>
      <c r="E65" s="7" t="n">
        <v>6</v>
      </c>
      <c r="F65" s="7">
        <f>A65&amp;B65&amp;"-"&amp;C65&amp;E65&amp;"-"&amp;D65</f>
        <v/>
      </c>
      <c r="G65" s="7" t="n">
        <v>468</v>
      </c>
      <c r="H65" s="47">
        <f>_xlfn.XLOOKUP(G65,'All Associates'!A:A,'All Associates'!B:B)</f>
        <v/>
      </c>
      <c r="I65" s="47">
        <f>_xlfn.XLOOKUP(G65,'All Associates'!A:A,'All Associates'!D:D)</f>
        <v/>
      </c>
      <c r="J65" s="11">
        <f>IF(G65&lt;&gt;"","Allocated","Available")</f>
        <v/>
      </c>
    </row>
    <row r="66">
      <c r="A66" s="6" t="inlineStr">
        <is>
          <t>R</t>
        </is>
      </c>
      <c r="B66" s="6" t="n">
        <v>3</v>
      </c>
      <c r="C66" s="7" t="inlineStr">
        <is>
          <t>F</t>
        </is>
      </c>
      <c r="D66" s="12" t="inlineStr">
        <is>
          <t>06</t>
        </is>
      </c>
      <c r="E66" s="7" t="n">
        <v>6</v>
      </c>
      <c r="F66" s="7">
        <f>A66&amp;B66&amp;"-"&amp;C66&amp;E66&amp;"-"&amp;D66</f>
        <v/>
      </c>
      <c r="G66" s="7" t="n">
        <v>942</v>
      </c>
      <c r="H66" s="47">
        <f>_xlfn.XLOOKUP(G66,'All Associates'!A:A,'All Associates'!B:B)</f>
        <v/>
      </c>
      <c r="I66" s="47">
        <f>_xlfn.XLOOKUP(G66,'All Associates'!A:A,'All Associates'!D:D)</f>
        <v/>
      </c>
      <c r="J66" s="11">
        <f>IF(G66&lt;&gt;"","Allocated","Available")</f>
        <v/>
      </c>
    </row>
    <row r="67">
      <c r="A67" s="6" t="inlineStr">
        <is>
          <t>R</t>
        </is>
      </c>
      <c r="B67" s="6" t="n">
        <v>3</v>
      </c>
      <c r="C67" s="7" t="inlineStr">
        <is>
          <t>F</t>
        </is>
      </c>
      <c r="D67" s="12" t="inlineStr">
        <is>
          <t>07</t>
        </is>
      </c>
      <c r="E67" s="7" t="n">
        <v>6</v>
      </c>
      <c r="F67" s="7">
        <f>A67&amp;B67&amp;"-"&amp;C67&amp;E67&amp;"-"&amp;D67</f>
        <v/>
      </c>
      <c r="G67" s="7" t="n">
        <v>65</v>
      </c>
      <c r="H67" s="47">
        <f>_xlfn.XLOOKUP(G67,'All Associates'!A:A,'All Associates'!B:B)</f>
        <v/>
      </c>
      <c r="I67" s="47">
        <f>_xlfn.XLOOKUP(G67,'All Associates'!A:A,'All Associates'!D:D)</f>
        <v/>
      </c>
      <c r="J67" s="11">
        <f>IF(G67&lt;&gt;"","Allocated","Available")</f>
        <v/>
      </c>
    </row>
    <row r="68">
      <c r="A68" s="6" t="inlineStr">
        <is>
          <t>R</t>
        </is>
      </c>
      <c r="B68" s="6" t="n">
        <v>3</v>
      </c>
      <c r="C68" s="7" t="inlineStr">
        <is>
          <t>F</t>
        </is>
      </c>
      <c r="D68" s="12" t="inlineStr">
        <is>
          <t>08</t>
        </is>
      </c>
      <c r="E68" s="7" t="n">
        <v>6</v>
      </c>
      <c r="F68" s="7">
        <f>A68&amp;B68&amp;"-"&amp;C68&amp;E68&amp;"-"&amp;D68</f>
        <v/>
      </c>
      <c r="G68" s="7" t="n"/>
      <c r="H68" s="47">
        <f>_xlfn.XLOOKUP(G68,'All Associates'!A:A,'All Associates'!B:B)</f>
        <v/>
      </c>
      <c r="I68" s="47">
        <f>_xlfn.XLOOKUP(G68,'All Associates'!A:A,'All Associates'!D:D)</f>
        <v/>
      </c>
      <c r="J68" s="11">
        <f>IF(G68&lt;&gt;"","Allocated","Available")</f>
        <v/>
      </c>
    </row>
    <row r="69">
      <c r="A69" s="6" t="inlineStr">
        <is>
          <t>R</t>
        </is>
      </c>
      <c r="B69" s="6" t="n">
        <v>3</v>
      </c>
      <c r="C69" s="7" t="inlineStr">
        <is>
          <t>F</t>
        </is>
      </c>
      <c r="D69" s="12" t="inlineStr">
        <is>
          <t>01</t>
        </is>
      </c>
      <c r="E69" s="7" t="inlineStr">
        <is>
          <t>M1</t>
        </is>
      </c>
      <c r="F69" s="7">
        <f>A69&amp;B69&amp;"-"&amp;C69&amp;E69&amp;"-"&amp;D69</f>
        <v/>
      </c>
      <c r="G69" s="7" t="n">
        <v>450</v>
      </c>
      <c r="H69" s="47">
        <f>_xlfn.XLOOKUP(G69,'All Associates'!A:A,'All Associates'!B:B)</f>
        <v/>
      </c>
      <c r="I69" s="47">
        <f>_xlfn.XLOOKUP(G69,'All Associates'!A:A,'All Associates'!D:D)</f>
        <v/>
      </c>
      <c r="J69" s="11">
        <f>IF(G69&lt;&gt;"","Allocated","Available")</f>
        <v/>
      </c>
    </row>
    <row r="70">
      <c r="A70" s="6" t="inlineStr">
        <is>
          <t>R</t>
        </is>
      </c>
      <c r="B70" s="6" t="n">
        <v>3</v>
      </c>
      <c r="C70" s="6" t="inlineStr">
        <is>
          <t>G</t>
        </is>
      </c>
      <c r="D70" s="12" t="inlineStr">
        <is>
          <t>01</t>
        </is>
      </c>
      <c r="E70" s="7" t="n">
        <v>1</v>
      </c>
      <c r="F70" s="7">
        <f>A70&amp;B70&amp;"-"&amp;C70&amp;E70&amp;"-"&amp;D70</f>
        <v/>
      </c>
      <c r="G70" s="7" t="n">
        <v>636</v>
      </c>
      <c r="H70" s="47">
        <f>_xlfn.XLOOKUP(G70,'All Associates'!A:A,'All Associates'!B:B)</f>
        <v/>
      </c>
      <c r="I70" s="47">
        <f>_xlfn.XLOOKUP(G70,'All Associates'!A:A,'All Associates'!D:D)</f>
        <v/>
      </c>
      <c r="J70" s="11">
        <f>IF(G70&lt;&gt;"","Allocated","Available")</f>
        <v/>
      </c>
    </row>
    <row r="71">
      <c r="A71" s="6" t="inlineStr">
        <is>
          <t>R</t>
        </is>
      </c>
      <c r="B71" s="6" t="n">
        <v>3</v>
      </c>
      <c r="C71" s="6" t="inlineStr">
        <is>
          <t>G</t>
        </is>
      </c>
      <c r="D71" s="12" t="inlineStr">
        <is>
          <t>02</t>
        </is>
      </c>
      <c r="E71" s="7" t="n">
        <v>1</v>
      </c>
      <c r="F71" s="7">
        <f>A71&amp;B71&amp;"-"&amp;C71&amp;E71&amp;"-"&amp;D71</f>
        <v/>
      </c>
      <c r="G71" s="7" t="n">
        <v>940</v>
      </c>
      <c r="H71" s="47">
        <f>_xlfn.XLOOKUP(G71,'All Associates'!A:A,'All Associates'!B:B)</f>
        <v/>
      </c>
      <c r="I71" s="47">
        <f>_xlfn.XLOOKUP(G71,'All Associates'!A:A,'All Associates'!D:D)</f>
        <v/>
      </c>
      <c r="J71" s="11">
        <f>IF(G71&lt;&gt;"","Allocated","Available")</f>
        <v/>
      </c>
    </row>
    <row r="72">
      <c r="A72" s="6" t="inlineStr">
        <is>
          <t>R</t>
        </is>
      </c>
      <c r="B72" s="6" t="n">
        <v>3</v>
      </c>
      <c r="C72" s="6" t="inlineStr">
        <is>
          <t>G</t>
        </is>
      </c>
      <c r="D72" s="12" t="inlineStr">
        <is>
          <t>03</t>
        </is>
      </c>
      <c r="E72" s="7" t="n">
        <v>1</v>
      </c>
      <c r="F72" s="7">
        <f>A72&amp;B72&amp;"-"&amp;C72&amp;E72&amp;"-"&amp;D72</f>
        <v/>
      </c>
      <c r="G72" s="7" t="n"/>
      <c r="H72" s="47">
        <f>_xlfn.XLOOKUP(G72,'All Associates'!A:A,'All Associates'!B:B)</f>
        <v/>
      </c>
      <c r="I72" s="47">
        <f>_xlfn.XLOOKUP(G72,'All Associates'!A:A,'All Associates'!D:D)</f>
        <v/>
      </c>
      <c r="J72" s="11">
        <f>IF(G72&lt;&gt;"","Allocated","Available")</f>
        <v/>
      </c>
    </row>
    <row r="73">
      <c r="A73" s="6" t="inlineStr">
        <is>
          <t>R</t>
        </is>
      </c>
      <c r="B73" s="6" t="n">
        <v>3</v>
      </c>
      <c r="C73" s="6" t="inlineStr">
        <is>
          <t>G</t>
        </is>
      </c>
      <c r="D73" s="12" t="inlineStr">
        <is>
          <t>04</t>
        </is>
      </c>
      <c r="E73" s="7" t="n">
        <v>1</v>
      </c>
      <c r="F73" s="7">
        <f>A73&amp;B73&amp;"-"&amp;C73&amp;E73&amp;"-"&amp;D73</f>
        <v/>
      </c>
      <c r="G73" s="7" t="n">
        <v>268</v>
      </c>
      <c r="H73" s="47">
        <f>_xlfn.XLOOKUP(G73,'All Associates'!A:A,'All Associates'!B:B)</f>
        <v/>
      </c>
      <c r="I73" s="47">
        <f>_xlfn.XLOOKUP(G73,'All Associates'!A:A,'All Associates'!D:D)</f>
        <v/>
      </c>
      <c r="J73" s="11">
        <f>IF(G73&lt;&gt;"","Allocated","Available")</f>
        <v/>
      </c>
    </row>
    <row r="74">
      <c r="A74" s="6" t="inlineStr">
        <is>
          <t>R</t>
        </is>
      </c>
      <c r="B74" s="6" t="n">
        <v>3</v>
      </c>
      <c r="C74" s="6" t="inlineStr">
        <is>
          <t>G</t>
        </is>
      </c>
      <c r="D74" s="12" t="inlineStr">
        <is>
          <t>05</t>
        </is>
      </c>
      <c r="E74" s="7" t="n">
        <v>1</v>
      </c>
      <c r="F74" s="7">
        <f>A74&amp;B74&amp;"-"&amp;C74&amp;E74&amp;"-"&amp;D74</f>
        <v/>
      </c>
      <c r="G74" s="6" t="n">
        <v>202</v>
      </c>
      <c r="H74" s="47">
        <f>_xlfn.XLOOKUP(G74,'All Associates'!A:A,'All Associates'!B:B)</f>
        <v/>
      </c>
      <c r="I74" s="47">
        <f>_xlfn.XLOOKUP(G74,'All Associates'!A:A,'All Associates'!D:D)</f>
        <v/>
      </c>
      <c r="J74" s="11">
        <f>IF(G74&lt;&gt;"","Allocated","Available")</f>
        <v/>
      </c>
    </row>
    <row r="75">
      <c r="A75" s="6" t="inlineStr">
        <is>
          <t>R</t>
        </is>
      </c>
      <c r="B75" s="6" t="n">
        <v>3</v>
      </c>
      <c r="C75" s="6" t="inlineStr">
        <is>
          <t>G</t>
        </is>
      </c>
      <c r="D75" s="12" t="inlineStr">
        <is>
          <t>06</t>
        </is>
      </c>
      <c r="E75" s="7" t="n">
        <v>1</v>
      </c>
      <c r="F75" s="7">
        <f>A75&amp;B75&amp;"-"&amp;C75&amp;E75&amp;"-"&amp;D75</f>
        <v/>
      </c>
      <c r="G75" s="7" t="n">
        <v>1235</v>
      </c>
      <c r="H75" s="47">
        <f>_xlfn.XLOOKUP(G75,'All Associates'!A:A,'All Associates'!B:B)</f>
        <v/>
      </c>
      <c r="I75" s="47">
        <f>_xlfn.XLOOKUP(G75,'All Associates'!A:A,'All Associates'!D:D)</f>
        <v/>
      </c>
      <c r="J75" s="11">
        <f>IF(G75&lt;&gt;"","Allocated","Available")</f>
        <v/>
      </c>
    </row>
    <row r="76">
      <c r="A76" s="6" t="inlineStr">
        <is>
          <t>R</t>
        </is>
      </c>
      <c r="B76" s="6" t="n">
        <v>3</v>
      </c>
      <c r="C76" s="6" t="inlineStr">
        <is>
          <t>G</t>
        </is>
      </c>
      <c r="D76" s="12" t="inlineStr">
        <is>
          <t>07</t>
        </is>
      </c>
      <c r="E76" s="7" t="n">
        <v>1</v>
      </c>
      <c r="F76" s="7">
        <f>A76&amp;B76&amp;"-"&amp;C76&amp;E76&amp;"-"&amp;D76</f>
        <v/>
      </c>
      <c r="G76" s="7" t="n">
        <v>2043</v>
      </c>
      <c r="H76" s="47">
        <f>_xlfn.XLOOKUP(G76,'All Associates'!A:A,'All Associates'!B:B)</f>
        <v/>
      </c>
      <c r="I76" s="47">
        <f>_xlfn.XLOOKUP(G76,'All Associates'!A:A,'All Associates'!D:D)</f>
        <v/>
      </c>
      <c r="J76" s="11">
        <f>IF(G76&lt;&gt;"","Allocated","Available")</f>
        <v/>
      </c>
    </row>
    <row r="77">
      <c r="A77" s="6" t="inlineStr">
        <is>
          <t>R</t>
        </is>
      </c>
      <c r="B77" s="6" t="n">
        <v>3</v>
      </c>
      <c r="C77" s="6" t="inlineStr">
        <is>
          <t>G</t>
        </is>
      </c>
      <c r="D77" s="12" t="inlineStr">
        <is>
          <t>08</t>
        </is>
      </c>
      <c r="E77" s="7" t="n">
        <v>1</v>
      </c>
      <c r="F77" s="7">
        <f>A77&amp;B77&amp;"-"&amp;C77&amp;E77&amp;"-"&amp;D77</f>
        <v/>
      </c>
      <c r="G77" s="7" t="n">
        <v>924</v>
      </c>
      <c r="H77" s="47">
        <f>_xlfn.XLOOKUP(G77,'All Associates'!A:A,'All Associates'!B:B)</f>
        <v/>
      </c>
      <c r="I77" s="47">
        <f>_xlfn.XLOOKUP(G77,'All Associates'!A:A,'All Associates'!D:D)</f>
        <v/>
      </c>
      <c r="J77" s="11">
        <f>IF(G77&lt;&gt;"","Allocated","Available")</f>
        <v/>
      </c>
    </row>
    <row r="78">
      <c r="A78" s="6" t="inlineStr">
        <is>
          <t>R</t>
        </is>
      </c>
      <c r="B78" s="6" t="n">
        <v>3</v>
      </c>
      <c r="C78" s="6" t="inlineStr">
        <is>
          <t>G</t>
        </is>
      </c>
      <c r="D78" s="12" t="inlineStr">
        <is>
          <t>01</t>
        </is>
      </c>
      <c r="E78" s="7" t="n">
        <v>2</v>
      </c>
      <c r="F78" s="7">
        <f>A78&amp;B78&amp;"-"&amp;C78&amp;E78&amp;"-"&amp;D78</f>
        <v/>
      </c>
      <c r="G78" s="6" t="n">
        <v>512</v>
      </c>
      <c r="H78" s="47">
        <f>_xlfn.XLOOKUP(G78,'All Associates'!A:A,'All Associates'!B:B)</f>
        <v/>
      </c>
      <c r="I78" s="47">
        <f>_xlfn.XLOOKUP(G78,'All Associates'!A:A,'All Associates'!D:D)</f>
        <v/>
      </c>
      <c r="J78" s="11">
        <f>IF(G78&lt;&gt;"","Allocated","Available")</f>
        <v/>
      </c>
    </row>
    <row r="79">
      <c r="A79" s="6" t="inlineStr">
        <is>
          <t>R</t>
        </is>
      </c>
      <c r="B79" s="6" t="n">
        <v>3</v>
      </c>
      <c r="C79" s="6" t="inlineStr">
        <is>
          <t>G</t>
        </is>
      </c>
      <c r="D79" s="12" t="inlineStr">
        <is>
          <t>02</t>
        </is>
      </c>
      <c r="E79" s="7" t="n">
        <v>2</v>
      </c>
      <c r="F79" s="7">
        <f>A79&amp;B79&amp;"-"&amp;C79&amp;E79&amp;"-"&amp;D79</f>
        <v/>
      </c>
      <c r="G79" s="7" t="n">
        <v>1101</v>
      </c>
      <c r="H79" s="47">
        <f>_xlfn.XLOOKUP(G79,'All Associates'!A:A,'All Associates'!B:B)</f>
        <v/>
      </c>
      <c r="I79" s="47">
        <f>_xlfn.XLOOKUP(G79,'All Associates'!A:A,'All Associates'!D:D)</f>
        <v/>
      </c>
      <c r="J79" s="11">
        <f>IF(G79&lt;&gt;"","Allocated","Available")</f>
        <v/>
      </c>
    </row>
    <row r="80">
      <c r="A80" s="6" t="inlineStr">
        <is>
          <t>R</t>
        </is>
      </c>
      <c r="B80" s="6" t="n">
        <v>3</v>
      </c>
      <c r="C80" s="6" t="inlineStr">
        <is>
          <t>G</t>
        </is>
      </c>
      <c r="D80" s="12" t="inlineStr">
        <is>
          <t>03</t>
        </is>
      </c>
      <c r="E80" s="7" t="n">
        <v>2</v>
      </c>
      <c r="F80" s="7">
        <f>A80&amp;B80&amp;"-"&amp;C80&amp;E80&amp;"-"&amp;D80</f>
        <v/>
      </c>
      <c r="G80" s="7" t="n">
        <v>1002</v>
      </c>
      <c r="H80" s="47">
        <f>_xlfn.XLOOKUP(G80,'All Associates'!A:A,'All Associates'!B:B)</f>
        <v/>
      </c>
      <c r="I80" s="47">
        <f>_xlfn.XLOOKUP(G80,'All Associates'!A:A,'All Associates'!D:D)</f>
        <v/>
      </c>
      <c r="J80" s="11">
        <f>IF(G80&lt;&gt;"","Allocated","Available")</f>
        <v/>
      </c>
    </row>
    <row r="81">
      <c r="A81" s="6" t="inlineStr">
        <is>
          <t>R</t>
        </is>
      </c>
      <c r="B81" s="6" t="n">
        <v>3</v>
      </c>
      <c r="C81" s="6" t="inlineStr">
        <is>
          <t>G</t>
        </is>
      </c>
      <c r="D81" s="12" t="inlineStr">
        <is>
          <t>04</t>
        </is>
      </c>
      <c r="E81" s="7" t="n">
        <v>2</v>
      </c>
      <c r="F81" s="7">
        <f>A81&amp;B81&amp;"-"&amp;C81&amp;E81&amp;"-"&amp;D81</f>
        <v/>
      </c>
      <c r="G81" s="7" t="n">
        <v>1244</v>
      </c>
      <c r="H81" s="47">
        <f>_xlfn.XLOOKUP(G81,'All Associates'!A:A,'All Associates'!B:B)</f>
        <v/>
      </c>
      <c r="I81" s="47">
        <f>_xlfn.XLOOKUP(G81,'All Associates'!A:A,'All Associates'!D:D)</f>
        <v/>
      </c>
      <c r="J81" s="11">
        <f>IF(G81&lt;&gt;"","Allocated","Available")</f>
        <v/>
      </c>
    </row>
    <row r="82">
      <c r="A82" s="6" t="inlineStr">
        <is>
          <t>R</t>
        </is>
      </c>
      <c r="B82" s="6" t="n">
        <v>3</v>
      </c>
      <c r="C82" s="6" t="inlineStr">
        <is>
          <t>G</t>
        </is>
      </c>
      <c r="D82" s="12" t="inlineStr">
        <is>
          <t>05</t>
        </is>
      </c>
      <c r="E82" s="7" t="n">
        <v>2</v>
      </c>
      <c r="F82" s="7">
        <f>A82&amp;B82&amp;"-"&amp;C82&amp;E82&amp;"-"&amp;D82</f>
        <v/>
      </c>
      <c r="G82" s="7" t="n">
        <v>1045</v>
      </c>
      <c r="H82" s="47">
        <f>_xlfn.XLOOKUP(G82,'All Associates'!A:A,'All Associates'!B:B)</f>
        <v/>
      </c>
      <c r="I82" s="47">
        <f>_xlfn.XLOOKUP(G82,'All Associates'!A:A,'All Associates'!D:D)</f>
        <v/>
      </c>
      <c r="J82" s="11">
        <f>IF(G82&lt;&gt;"","Allocated","Available")</f>
        <v/>
      </c>
    </row>
    <row r="83">
      <c r="A83" s="6" t="inlineStr">
        <is>
          <t>R</t>
        </is>
      </c>
      <c r="B83" s="6" t="n">
        <v>3</v>
      </c>
      <c r="C83" s="6" t="inlineStr">
        <is>
          <t>G</t>
        </is>
      </c>
      <c r="D83" s="12" t="inlineStr">
        <is>
          <t>06</t>
        </is>
      </c>
      <c r="E83" s="7" t="n">
        <v>2</v>
      </c>
      <c r="F83" s="7">
        <f>A83&amp;B83&amp;"-"&amp;C83&amp;E83&amp;"-"&amp;D83</f>
        <v/>
      </c>
      <c r="G83" s="7" t="n">
        <v>1082</v>
      </c>
      <c r="H83" s="47">
        <f>_xlfn.XLOOKUP(G83,'All Associates'!A:A,'All Associates'!B:B)</f>
        <v/>
      </c>
      <c r="I83" s="47">
        <f>_xlfn.XLOOKUP(G83,'All Associates'!A:A,'All Associates'!D:D)</f>
        <v/>
      </c>
      <c r="J83" s="11">
        <f>IF(G83&lt;&gt;"","Allocated","Available")</f>
        <v/>
      </c>
    </row>
    <row r="84">
      <c r="A84" s="6" t="inlineStr">
        <is>
          <t>R</t>
        </is>
      </c>
      <c r="B84" s="6" t="n">
        <v>3</v>
      </c>
      <c r="C84" s="6" t="inlineStr">
        <is>
          <t>G</t>
        </is>
      </c>
      <c r="D84" s="12" t="inlineStr">
        <is>
          <t>07</t>
        </is>
      </c>
      <c r="E84" s="7" t="n">
        <v>2</v>
      </c>
      <c r="F84" s="7">
        <f>A84&amp;B84&amp;"-"&amp;C84&amp;E84&amp;"-"&amp;D84</f>
        <v/>
      </c>
      <c r="G84" s="7" t="n">
        <v>2042</v>
      </c>
      <c r="H84" s="47">
        <f>_xlfn.XLOOKUP(G84,'All Associates'!A:A,'All Associates'!B:B)</f>
        <v/>
      </c>
      <c r="I84" s="47">
        <f>_xlfn.XLOOKUP(G84,'All Associates'!A:A,'All Associates'!D:D)</f>
        <v/>
      </c>
      <c r="J84" s="11">
        <f>IF(G84&lt;&gt;"","Allocated","Available")</f>
        <v/>
      </c>
    </row>
    <row r="85">
      <c r="A85" s="6" t="inlineStr">
        <is>
          <t>R</t>
        </is>
      </c>
      <c r="B85" s="6" t="n">
        <v>3</v>
      </c>
      <c r="C85" s="6" t="inlineStr">
        <is>
          <t>G</t>
        </is>
      </c>
      <c r="D85" s="12" t="inlineStr">
        <is>
          <t>01</t>
        </is>
      </c>
      <c r="E85" s="7" t="n">
        <v>3</v>
      </c>
      <c r="F85" s="7">
        <f>A85&amp;B85&amp;"-"&amp;C85&amp;E85&amp;"-"&amp;D85</f>
        <v/>
      </c>
      <c r="G85" s="7" t="n">
        <v>81</v>
      </c>
      <c r="H85" s="47">
        <f>_xlfn.XLOOKUP(G85,'All Associates'!A:A,'All Associates'!B:B)</f>
        <v/>
      </c>
      <c r="I85" s="47">
        <f>_xlfn.XLOOKUP(G85,'All Associates'!A:A,'All Associates'!D:D)</f>
        <v/>
      </c>
      <c r="J85" s="11">
        <f>IF(G85&lt;&gt;"","Allocated","Available")</f>
        <v/>
      </c>
    </row>
    <row r="86">
      <c r="A86" s="6" t="inlineStr">
        <is>
          <t>R</t>
        </is>
      </c>
      <c r="B86" s="6" t="n">
        <v>3</v>
      </c>
      <c r="C86" s="6" t="inlineStr">
        <is>
          <t>G</t>
        </is>
      </c>
      <c r="D86" s="12" t="inlineStr">
        <is>
          <t>02</t>
        </is>
      </c>
      <c r="E86" s="7" t="n">
        <v>3</v>
      </c>
      <c r="F86" s="7">
        <f>A86&amp;B86&amp;"-"&amp;C86&amp;E86&amp;"-"&amp;D86</f>
        <v/>
      </c>
      <c r="G86" s="7" t="n">
        <v>881</v>
      </c>
      <c r="H86" s="47">
        <f>_xlfn.XLOOKUP(G86,'All Associates'!A:A,'All Associates'!B:B)</f>
        <v/>
      </c>
      <c r="I86" s="47">
        <f>_xlfn.XLOOKUP(G86,'All Associates'!A:A,'All Associates'!D:D)</f>
        <v/>
      </c>
      <c r="J86" s="11">
        <f>IF(G86&lt;&gt;"","Allocated","Available")</f>
        <v/>
      </c>
    </row>
    <row r="87">
      <c r="A87" s="6" t="inlineStr">
        <is>
          <t>R</t>
        </is>
      </c>
      <c r="B87" s="6" t="n">
        <v>3</v>
      </c>
      <c r="C87" s="6" t="inlineStr">
        <is>
          <t>G</t>
        </is>
      </c>
      <c r="D87" s="12" t="inlineStr">
        <is>
          <t>03</t>
        </is>
      </c>
      <c r="E87" s="7" t="n">
        <v>3</v>
      </c>
      <c r="F87" s="7">
        <f>A87&amp;B87&amp;"-"&amp;C87&amp;E87&amp;"-"&amp;D87</f>
        <v/>
      </c>
      <c r="G87" s="7" t="n">
        <v>623</v>
      </c>
      <c r="H87" s="47">
        <f>_xlfn.XLOOKUP(G87,'All Associates'!A:A,'All Associates'!B:B)</f>
        <v/>
      </c>
      <c r="I87" s="47">
        <f>_xlfn.XLOOKUP(G87,'All Associates'!A:A,'All Associates'!D:D)</f>
        <v/>
      </c>
      <c r="J87" s="11">
        <f>IF(G87&lt;&gt;"","Allocated","Available")</f>
        <v/>
      </c>
    </row>
    <row r="88">
      <c r="A88" s="6" t="inlineStr">
        <is>
          <t>R</t>
        </is>
      </c>
      <c r="B88" s="6" t="n">
        <v>3</v>
      </c>
      <c r="C88" s="6" t="inlineStr">
        <is>
          <t>G</t>
        </is>
      </c>
      <c r="D88" s="12" t="inlineStr">
        <is>
          <t>04</t>
        </is>
      </c>
      <c r="E88" s="7" t="n">
        <v>3</v>
      </c>
      <c r="F88" s="7">
        <f>A88&amp;B88&amp;"-"&amp;C88&amp;E88&amp;"-"&amp;D88</f>
        <v/>
      </c>
      <c r="G88" s="7" t="n">
        <v>669</v>
      </c>
      <c r="H88" s="47">
        <f>_xlfn.XLOOKUP(G88,'All Associates'!A:A,'All Associates'!B:B)</f>
        <v/>
      </c>
      <c r="I88" s="47">
        <f>_xlfn.XLOOKUP(G88,'All Associates'!A:A,'All Associates'!D:D)</f>
        <v/>
      </c>
      <c r="J88" s="11">
        <f>IF(G88&lt;&gt;"","Allocated","Available")</f>
        <v/>
      </c>
    </row>
    <row r="89">
      <c r="A89" s="6" t="inlineStr">
        <is>
          <t>R</t>
        </is>
      </c>
      <c r="B89" s="6" t="n">
        <v>3</v>
      </c>
      <c r="C89" s="6" t="inlineStr">
        <is>
          <t>G</t>
        </is>
      </c>
      <c r="D89" s="12" t="inlineStr">
        <is>
          <t>05</t>
        </is>
      </c>
      <c r="E89" s="7" t="n">
        <v>3</v>
      </c>
      <c r="F89" s="7">
        <f>A89&amp;B89&amp;"-"&amp;C89&amp;E89&amp;"-"&amp;D89</f>
        <v/>
      </c>
      <c r="G89" s="7" t="n">
        <v>890</v>
      </c>
      <c r="H89" s="47">
        <f>_xlfn.XLOOKUP(G89,'All Associates'!A:A,'All Associates'!B:B)</f>
        <v/>
      </c>
      <c r="I89" s="47">
        <f>_xlfn.XLOOKUP(G89,'All Associates'!A:A,'All Associates'!D:D)</f>
        <v/>
      </c>
      <c r="J89" s="11">
        <f>IF(G89&lt;&gt;"","Allocated","Available")</f>
        <v/>
      </c>
    </row>
    <row r="90">
      <c r="A90" s="6" t="inlineStr">
        <is>
          <t>R</t>
        </is>
      </c>
      <c r="B90" s="6" t="n">
        <v>3</v>
      </c>
      <c r="C90" s="6" t="inlineStr">
        <is>
          <t>G</t>
        </is>
      </c>
      <c r="D90" s="12" t="inlineStr">
        <is>
          <t>06</t>
        </is>
      </c>
      <c r="E90" s="7" t="n">
        <v>3</v>
      </c>
      <c r="F90" s="7">
        <f>A90&amp;B90&amp;"-"&amp;C90&amp;E90&amp;"-"&amp;D90</f>
        <v/>
      </c>
      <c r="G90" s="7" t="n">
        <v>1146</v>
      </c>
      <c r="H90" s="47">
        <f>_xlfn.XLOOKUP(G90,'All Associates'!A:A,'All Associates'!B:B)</f>
        <v/>
      </c>
      <c r="I90" s="47">
        <f>_xlfn.XLOOKUP(G90,'All Associates'!A:A,'All Associates'!D:D)</f>
        <v/>
      </c>
      <c r="J90" s="11">
        <f>IF(G90&lt;&gt;"","Allocated","Available")</f>
        <v/>
      </c>
    </row>
    <row r="91">
      <c r="A91" s="6" t="inlineStr">
        <is>
          <t>R</t>
        </is>
      </c>
      <c r="B91" s="6" t="n">
        <v>3</v>
      </c>
      <c r="C91" s="6" t="inlineStr">
        <is>
          <t>G</t>
        </is>
      </c>
      <c r="D91" s="12" t="inlineStr">
        <is>
          <t>07</t>
        </is>
      </c>
      <c r="E91" s="7" t="n">
        <v>3</v>
      </c>
      <c r="F91" s="7">
        <f>A91&amp;B91&amp;"-"&amp;C91&amp;E91&amp;"-"&amp;D91</f>
        <v/>
      </c>
      <c r="G91" s="7" t="n"/>
      <c r="H91" s="47">
        <f>_xlfn.XLOOKUP(G91,'All Associates'!A:A,'All Associates'!B:B)</f>
        <v/>
      </c>
      <c r="I91" s="47">
        <f>_xlfn.XLOOKUP(G91,'All Associates'!A:A,'All Associates'!D:D)</f>
        <v/>
      </c>
      <c r="J91" s="11">
        <f>IF(G91&lt;&gt;"","Allocated","Available")</f>
        <v/>
      </c>
    </row>
    <row r="92">
      <c r="A92" s="6" t="inlineStr">
        <is>
          <t>R</t>
        </is>
      </c>
      <c r="B92" s="6" t="n">
        <v>3</v>
      </c>
      <c r="C92" s="6" t="inlineStr">
        <is>
          <t>G</t>
        </is>
      </c>
      <c r="D92" s="12" t="inlineStr">
        <is>
          <t>08</t>
        </is>
      </c>
      <c r="E92" s="7" t="n">
        <v>3</v>
      </c>
      <c r="F92" s="7">
        <f>A92&amp;B92&amp;"-"&amp;C92&amp;E92&amp;"-"&amp;D92</f>
        <v/>
      </c>
      <c r="G92" s="7" t="inlineStr">
        <is>
          <t>HW</t>
        </is>
      </c>
      <c r="H92" s="47" t="n"/>
      <c r="I92" s="47" t="n"/>
      <c r="J92" s="11" t="inlineStr">
        <is>
          <t>HW</t>
        </is>
      </c>
    </row>
    <row r="93">
      <c r="A93" s="6" t="inlineStr">
        <is>
          <t>R</t>
        </is>
      </c>
      <c r="B93" s="6" t="n">
        <v>3</v>
      </c>
      <c r="C93" s="6" t="inlineStr">
        <is>
          <t>G</t>
        </is>
      </c>
      <c r="D93" s="12" t="inlineStr">
        <is>
          <t>01</t>
        </is>
      </c>
      <c r="E93" s="7" t="n">
        <v>4</v>
      </c>
      <c r="F93" s="7">
        <f>A93&amp;B93&amp;"-"&amp;C93&amp;E93&amp;"-"&amp;D93</f>
        <v/>
      </c>
      <c r="G93" s="7" t="n">
        <v>150</v>
      </c>
      <c r="H93" s="47">
        <f>_xlfn.XLOOKUP(G93,'All Associates'!A:A,'All Associates'!B:B)</f>
        <v/>
      </c>
      <c r="I93" s="47">
        <f>_xlfn.XLOOKUP(G93,'All Associates'!A:A,'All Associates'!D:D)</f>
        <v/>
      </c>
      <c r="J93" s="11">
        <f>IF(G93&lt;&gt;"","Allocated","Available")</f>
        <v/>
      </c>
    </row>
    <row r="94">
      <c r="A94" s="6" t="inlineStr">
        <is>
          <t>R</t>
        </is>
      </c>
      <c r="B94" s="6" t="n">
        <v>3</v>
      </c>
      <c r="C94" s="6" t="inlineStr">
        <is>
          <t>G</t>
        </is>
      </c>
      <c r="D94" s="12" t="inlineStr">
        <is>
          <t>02</t>
        </is>
      </c>
      <c r="E94" s="7" t="n">
        <v>4</v>
      </c>
      <c r="F94" s="7">
        <f>A94&amp;B94&amp;"-"&amp;C94&amp;E94&amp;"-"&amp;D94</f>
        <v/>
      </c>
      <c r="G94" s="7" t="n">
        <v>417</v>
      </c>
      <c r="H94" s="47">
        <f>_xlfn.XLOOKUP(G94,'All Associates'!A:A,'All Associates'!B:B)</f>
        <v/>
      </c>
      <c r="I94" s="47">
        <f>_xlfn.XLOOKUP(G94,'All Associates'!A:A,'All Associates'!D:D)</f>
        <v/>
      </c>
      <c r="J94" s="11">
        <f>IF(G94&lt;&gt;"","Allocated","Available")</f>
        <v/>
      </c>
    </row>
    <row r="95">
      <c r="A95" s="6" t="inlineStr">
        <is>
          <t>R</t>
        </is>
      </c>
      <c r="B95" s="6" t="n">
        <v>3</v>
      </c>
      <c r="C95" s="6" t="inlineStr">
        <is>
          <t>G</t>
        </is>
      </c>
      <c r="D95" s="12" t="inlineStr">
        <is>
          <t>03</t>
        </is>
      </c>
      <c r="E95" s="7" t="n">
        <v>4</v>
      </c>
      <c r="F95" s="7">
        <f>A95&amp;B95&amp;"-"&amp;C95&amp;E95&amp;"-"&amp;D95</f>
        <v/>
      </c>
      <c r="G95" s="7" t="n">
        <v>442</v>
      </c>
      <c r="H95" s="47">
        <f>_xlfn.XLOOKUP(G95,'All Associates'!A:A,'All Associates'!B:B)</f>
        <v/>
      </c>
      <c r="I95" s="47">
        <f>_xlfn.XLOOKUP(G95,'All Associates'!A:A,'All Associates'!D:D)</f>
        <v/>
      </c>
      <c r="J95" s="11">
        <f>IF(G95&lt;&gt;"","Allocated","Available")</f>
        <v/>
      </c>
    </row>
    <row r="96">
      <c r="A96" s="6" t="inlineStr">
        <is>
          <t>R</t>
        </is>
      </c>
      <c r="B96" s="6" t="n">
        <v>3</v>
      </c>
      <c r="C96" s="6" t="inlineStr">
        <is>
          <t>G</t>
        </is>
      </c>
      <c r="D96" s="12" t="inlineStr">
        <is>
          <t>04</t>
        </is>
      </c>
      <c r="E96" s="7" t="n">
        <v>4</v>
      </c>
      <c r="F96" s="7">
        <f>A96&amp;B96&amp;"-"&amp;C96&amp;E96&amp;"-"&amp;D96</f>
        <v/>
      </c>
      <c r="G96" s="7" t="n">
        <v>440</v>
      </c>
      <c r="H96" s="47">
        <f>_xlfn.XLOOKUP(G96,'All Associates'!A:A,'All Associates'!B:B)</f>
        <v/>
      </c>
      <c r="I96" s="47">
        <f>_xlfn.XLOOKUP(G96,'All Associates'!A:A,'All Associates'!D:D)</f>
        <v/>
      </c>
      <c r="J96" s="11">
        <f>IF(G96&lt;&gt;"","Allocated","Available")</f>
        <v/>
      </c>
    </row>
    <row r="97">
      <c r="A97" s="6" t="inlineStr">
        <is>
          <t>R</t>
        </is>
      </c>
      <c r="B97" s="6" t="n">
        <v>3</v>
      </c>
      <c r="C97" s="6" t="inlineStr">
        <is>
          <t>G</t>
        </is>
      </c>
      <c r="D97" s="12" t="inlineStr">
        <is>
          <t>06</t>
        </is>
      </c>
      <c r="E97" s="7" t="n">
        <v>4</v>
      </c>
      <c r="F97" s="7">
        <f>A97&amp;B97&amp;"-"&amp;C97&amp;E97&amp;"-"&amp;D97</f>
        <v/>
      </c>
      <c r="G97" s="7" t="inlineStr">
        <is>
          <t>HW</t>
        </is>
      </c>
      <c r="H97" s="47" t="n"/>
      <c r="I97" s="47" t="n"/>
      <c r="J97" s="11" t="inlineStr">
        <is>
          <t>HW</t>
        </is>
      </c>
    </row>
    <row r="98">
      <c r="A98" s="6" t="inlineStr">
        <is>
          <t>R</t>
        </is>
      </c>
      <c r="B98" s="6" t="n">
        <v>3</v>
      </c>
      <c r="C98" s="6" t="inlineStr">
        <is>
          <t>G</t>
        </is>
      </c>
      <c r="D98" s="12" t="inlineStr">
        <is>
          <t>07</t>
        </is>
      </c>
      <c r="E98" s="7" t="n">
        <v>4</v>
      </c>
      <c r="F98" s="7">
        <f>A98&amp;B98&amp;"-"&amp;C98&amp;E98&amp;"-"&amp;D98</f>
        <v/>
      </c>
      <c r="G98" s="7" t="inlineStr">
        <is>
          <t>HW</t>
        </is>
      </c>
      <c r="H98" s="47" t="n"/>
      <c r="I98" s="47" t="n"/>
      <c r="J98" s="11" t="inlineStr">
        <is>
          <t>HW</t>
        </is>
      </c>
    </row>
    <row r="99">
      <c r="A99" s="6" t="inlineStr">
        <is>
          <t>R</t>
        </is>
      </c>
      <c r="B99" s="6" t="n">
        <v>3</v>
      </c>
      <c r="C99" s="6" t="inlineStr">
        <is>
          <t>G</t>
        </is>
      </c>
      <c r="D99" s="12" t="inlineStr">
        <is>
          <t>08</t>
        </is>
      </c>
      <c r="E99" s="7" t="n">
        <v>4</v>
      </c>
      <c r="F99" s="7">
        <f>A99&amp;B99&amp;"-"&amp;C99&amp;E99&amp;"-"&amp;D99</f>
        <v/>
      </c>
      <c r="G99" s="7" t="n">
        <v>27</v>
      </c>
      <c r="H99" s="47">
        <f>_xlfn.XLOOKUP(G99,'All Associates'!A:A,'All Associates'!B:B)</f>
        <v/>
      </c>
      <c r="I99" s="47">
        <f>_xlfn.XLOOKUP(G99,'All Associates'!A:A,'All Associates'!D:D)</f>
        <v/>
      </c>
      <c r="J99" s="11">
        <f>IF(G99&lt;&gt;"","Allocated","Available")</f>
        <v/>
      </c>
    </row>
    <row r="100">
      <c r="A100" s="6" t="inlineStr">
        <is>
          <t>R</t>
        </is>
      </c>
      <c r="B100" s="6" t="n">
        <v>3</v>
      </c>
      <c r="C100" s="6" t="inlineStr">
        <is>
          <t>G</t>
        </is>
      </c>
      <c r="D100" s="12" t="inlineStr">
        <is>
          <t>01</t>
        </is>
      </c>
      <c r="E100" s="7" t="inlineStr">
        <is>
          <t>M1</t>
        </is>
      </c>
      <c r="F100" s="7">
        <f>A100&amp;B100&amp;"-"&amp;C100&amp;E100&amp;"-"&amp;D100</f>
        <v/>
      </c>
      <c r="G100" s="7" t="n"/>
      <c r="H100" s="47">
        <f>_xlfn.XLOOKUP(G100,'All Associates'!A:A,'All Associates'!B:B)</f>
        <v/>
      </c>
      <c r="I100" s="47">
        <f>_xlfn.XLOOKUP(G100,'All Associates'!A:A,'All Associates'!D:D)</f>
        <v/>
      </c>
      <c r="J100" s="11">
        <f>IF(G100&lt;&gt;"","Allocated","Available")</f>
        <v/>
      </c>
    </row>
    <row r="101">
      <c r="A101" s="6" t="inlineStr">
        <is>
          <t>R</t>
        </is>
      </c>
      <c r="B101" s="6" t="n">
        <v>3</v>
      </c>
      <c r="C101" s="6" t="inlineStr">
        <is>
          <t>H</t>
        </is>
      </c>
      <c r="D101" s="12" t="inlineStr">
        <is>
          <t>01</t>
        </is>
      </c>
      <c r="E101" s="7" t="n">
        <v>1</v>
      </c>
      <c r="F101" s="7">
        <f>A101&amp;B101&amp;"-"&amp;C101&amp;E101&amp;"-"&amp;D101</f>
        <v/>
      </c>
      <c r="G101" s="7" t="n">
        <v>614</v>
      </c>
      <c r="H101" s="47">
        <f>_xlfn.XLOOKUP(G101,'All Associates'!A:A,'All Associates'!B:B)</f>
        <v/>
      </c>
      <c r="I101" s="47">
        <f>_xlfn.XLOOKUP(G101,'All Associates'!A:A,'All Associates'!D:D)</f>
        <v/>
      </c>
      <c r="J101" s="11">
        <f>IF(G101&lt;&gt;"","Allocated","Available")</f>
        <v/>
      </c>
    </row>
    <row r="102">
      <c r="A102" s="6" t="inlineStr">
        <is>
          <t>R</t>
        </is>
      </c>
      <c r="B102" s="6" t="n">
        <v>3</v>
      </c>
      <c r="C102" s="6" t="inlineStr">
        <is>
          <t>H</t>
        </is>
      </c>
      <c r="D102" s="12" t="inlineStr">
        <is>
          <t>02</t>
        </is>
      </c>
      <c r="E102" s="7" t="n">
        <v>1</v>
      </c>
      <c r="F102" s="7">
        <f>A102&amp;B102&amp;"-"&amp;C102&amp;E102&amp;"-"&amp;D102</f>
        <v/>
      </c>
      <c r="G102" s="7" t="n">
        <v>199</v>
      </c>
      <c r="H102" s="47">
        <f>_xlfn.XLOOKUP(G102,'All Associates'!A:A,'All Associates'!B:B)</f>
        <v/>
      </c>
      <c r="I102" s="47">
        <f>_xlfn.XLOOKUP(G102,'All Associates'!A:A,'All Associates'!D:D)</f>
        <v/>
      </c>
      <c r="J102" s="11">
        <f>IF(G102&lt;&gt;"","Allocated","Available")</f>
        <v/>
      </c>
    </row>
    <row r="103">
      <c r="A103" s="6" t="inlineStr">
        <is>
          <t>R</t>
        </is>
      </c>
      <c r="B103" s="6" t="n">
        <v>3</v>
      </c>
      <c r="C103" s="6" t="inlineStr">
        <is>
          <t>H</t>
        </is>
      </c>
      <c r="D103" s="12" t="inlineStr">
        <is>
          <t>03</t>
        </is>
      </c>
      <c r="E103" s="7" t="n">
        <v>1</v>
      </c>
      <c r="F103" s="7">
        <f>A103&amp;B103&amp;"-"&amp;C103&amp;E103&amp;"-"&amp;D103</f>
        <v/>
      </c>
      <c r="G103" s="7" t="n">
        <v>847</v>
      </c>
      <c r="H103" s="47">
        <f>_xlfn.XLOOKUP(G103,'All Associates'!A:A,'All Associates'!B:B)</f>
        <v/>
      </c>
      <c r="I103" s="47">
        <f>_xlfn.XLOOKUP(G103,'All Associates'!A:A,'All Associates'!D:D)</f>
        <v/>
      </c>
      <c r="J103" s="11">
        <f>IF(G103&lt;&gt;"","Allocated","Available")</f>
        <v/>
      </c>
    </row>
    <row r="104">
      <c r="A104" s="6" t="inlineStr">
        <is>
          <t>R</t>
        </is>
      </c>
      <c r="B104" s="6" t="n">
        <v>3</v>
      </c>
      <c r="C104" s="14" t="inlineStr">
        <is>
          <t>H</t>
        </is>
      </c>
      <c r="D104" s="15" t="inlineStr">
        <is>
          <t>04</t>
        </is>
      </c>
      <c r="E104" s="16" t="n">
        <v>1</v>
      </c>
      <c r="F104" s="7">
        <f>A104&amp;B104&amp;"-"&amp;C104&amp;E104&amp;"-"&amp;D104</f>
        <v/>
      </c>
      <c r="G104" s="16" t="n">
        <v>73</v>
      </c>
      <c r="H104" s="47">
        <f>_xlfn.XLOOKUP(G104,'All Associates'!A:A,'All Associates'!B:B)</f>
        <v/>
      </c>
      <c r="I104" s="47">
        <f>_xlfn.XLOOKUP(G104,'All Associates'!A:A,'All Associates'!D:D)</f>
        <v/>
      </c>
      <c r="J104" s="11">
        <f>IF(G104&lt;&gt;"","Allocated","Available")</f>
        <v/>
      </c>
    </row>
    <row r="105">
      <c r="A105" s="6" t="inlineStr">
        <is>
          <t>R</t>
        </is>
      </c>
      <c r="B105" s="6" t="n">
        <v>3</v>
      </c>
      <c r="C105" s="6" t="inlineStr">
        <is>
          <t>H</t>
        </is>
      </c>
      <c r="D105" s="12" t="inlineStr">
        <is>
          <t>05</t>
        </is>
      </c>
      <c r="E105" s="7" t="n">
        <v>1</v>
      </c>
      <c r="F105" s="7">
        <f>A105&amp;B105&amp;"-"&amp;C105&amp;E105&amp;"-"&amp;D105</f>
        <v/>
      </c>
      <c r="G105" s="6" t="n">
        <v>1076</v>
      </c>
      <c r="H105" s="47">
        <f>_xlfn.XLOOKUP(G105,'All Associates'!A:A,'All Associates'!B:B)</f>
        <v/>
      </c>
      <c r="I105" s="47">
        <f>_xlfn.XLOOKUP(G105,'All Associates'!A:A,'All Associates'!D:D)</f>
        <v/>
      </c>
      <c r="J105" s="11">
        <f>IF(G105&lt;&gt;"","Allocated","Available")</f>
        <v/>
      </c>
    </row>
    <row r="106">
      <c r="A106" s="6" t="inlineStr">
        <is>
          <t>R</t>
        </is>
      </c>
      <c r="B106" s="6" t="n">
        <v>3</v>
      </c>
      <c r="C106" s="6" t="inlineStr">
        <is>
          <t>H</t>
        </is>
      </c>
      <c r="D106" s="12" t="inlineStr">
        <is>
          <t>06</t>
        </is>
      </c>
      <c r="E106" s="7" t="n">
        <v>1</v>
      </c>
      <c r="F106" s="7">
        <f>A106&amp;B106&amp;"-"&amp;C106&amp;E106&amp;"-"&amp;D106</f>
        <v/>
      </c>
      <c r="G106" s="7" t="n">
        <v>1103</v>
      </c>
      <c r="H106" s="47">
        <f>_xlfn.XLOOKUP(G106,'All Associates'!A:A,'All Associates'!B:B)</f>
        <v/>
      </c>
      <c r="I106" s="47">
        <f>_xlfn.XLOOKUP(G106,'All Associates'!A:A,'All Associates'!D:D)</f>
        <v/>
      </c>
      <c r="J106" s="11">
        <f>IF(G106&lt;&gt;"","Allocated","Available")</f>
        <v/>
      </c>
    </row>
    <row r="107">
      <c r="A107" s="6" t="inlineStr">
        <is>
          <t>R</t>
        </is>
      </c>
      <c r="B107" s="6" t="n">
        <v>3</v>
      </c>
      <c r="C107" s="6" t="inlineStr">
        <is>
          <t>H</t>
        </is>
      </c>
      <c r="D107" s="12" t="inlineStr">
        <is>
          <t>07</t>
        </is>
      </c>
      <c r="E107" s="7" t="n">
        <v>1</v>
      </c>
      <c r="F107" s="7">
        <f>A107&amp;B107&amp;"-"&amp;C107&amp;E107&amp;"-"&amp;D107</f>
        <v/>
      </c>
      <c r="G107" s="7" t="n">
        <v>1040</v>
      </c>
      <c r="H107" s="47">
        <f>_xlfn.XLOOKUP(G107,'All Associates'!A:A,'All Associates'!B:B)</f>
        <v/>
      </c>
      <c r="I107" s="47">
        <f>_xlfn.XLOOKUP(G107,'All Associates'!A:A,'All Associates'!D:D)</f>
        <v/>
      </c>
      <c r="J107" s="11">
        <f>IF(G107&lt;&gt;"","Allocated","Available")</f>
        <v/>
      </c>
    </row>
    <row r="108">
      <c r="A108" s="6" t="inlineStr">
        <is>
          <t>R</t>
        </is>
      </c>
      <c r="B108" s="6" t="n">
        <v>3</v>
      </c>
      <c r="C108" s="6" t="inlineStr">
        <is>
          <t>H</t>
        </is>
      </c>
      <c r="D108" s="12" t="inlineStr">
        <is>
          <t>08</t>
        </is>
      </c>
      <c r="E108" s="7" t="n">
        <v>1</v>
      </c>
      <c r="F108" s="7">
        <f>A108&amp;B108&amp;"-"&amp;C108&amp;E108&amp;"-"&amp;D108</f>
        <v/>
      </c>
      <c r="G108" s="7" t="n">
        <v>2023</v>
      </c>
      <c r="H108" s="47">
        <f>_xlfn.XLOOKUP(G108,'All Associates'!A:A,'All Associates'!B:B)</f>
        <v/>
      </c>
      <c r="I108" s="47">
        <f>_xlfn.XLOOKUP(G108,'All Associates'!A:A,'All Associates'!D:D)</f>
        <v/>
      </c>
      <c r="J108" s="11">
        <f>IF(G108&lt;&gt;"","Allocated","Available")</f>
        <v/>
      </c>
    </row>
    <row r="109">
      <c r="A109" s="6" t="inlineStr">
        <is>
          <t>R</t>
        </is>
      </c>
      <c r="B109" s="6" t="n">
        <v>3</v>
      </c>
      <c r="C109" s="6" t="inlineStr">
        <is>
          <t>H</t>
        </is>
      </c>
      <c r="D109" s="12" t="inlineStr">
        <is>
          <t>01</t>
        </is>
      </c>
      <c r="E109" s="7" t="n">
        <v>2</v>
      </c>
      <c r="F109" s="7">
        <f>A109&amp;B109&amp;"-"&amp;C109&amp;E109&amp;"-"&amp;D109</f>
        <v/>
      </c>
      <c r="G109" s="7" t="n">
        <v>1052</v>
      </c>
      <c r="H109" s="47">
        <f>_xlfn.XLOOKUP(G109,'All Associates'!A:A,'All Associates'!B:B)</f>
        <v/>
      </c>
      <c r="I109" s="47">
        <f>_xlfn.XLOOKUP(G109,'All Associates'!A:A,'All Associates'!D:D)</f>
        <v/>
      </c>
      <c r="J109" s="11">
        <f>IF(G109&lt;&gt;"","Allocated","Available")</f>
        <v/>
      </c>
    </row>
    <row r="110">
      <c r="A110" s="6" t="inlineStr">
        <is>
          <t>R</t>
        </is>
      </c>
      <c r="B110" s="6" t="n">
        <v>3</v>
      </c>
      <c r="C110" s="6" t="inlineStr">
        <is>
          <t>H</t>
        </is>
      </c>
      <c r="D110" s="12" t="inlineStr">
        <is>
          <t>02</t>
        </is>
      </c>
      <c r="E110" s="7" t="n">
        <v>2</v>
      </c>
      <c r="F110" s="7">
        <f>A110&amp;B110&amp;"-"&amp;C110&amp;E110&amp;"-"&amp;D110</f>
        <v/>
      </c>
      <c r="G110" s="7" t="n">
        <v>180</v>
      </c>
      <c r="H110" s="47">
        <f>_xlfn.XLOOKUP(G110,'All Associates'!A:A,'All Associates'!B:B)</f>
        <v/>
      </c>
      <c r="I110" s="47">
        <f>_xlfn.XLOOKUP(G110,'All Associates'!A:A,'All Associates'!D:D)</f>
        <v/>
      </c>
      <c r="J110" s="11">
        <f>IF(G110&lt;&gt;"","Allocated","Available")</f>
        <v/>
      </c>
    </row>
    <row r="111">
      <c r="A111" s="6" t="inlineStr">
        <is>
          <t>R</t>
        </is>
      </c>
      <c r="B111" s="6" t="n">
        <v>3</v>
      </c>
      <c r="C111" s="6" t="inlineStr">
        <is>
          <t>H</t>
        </is>
      </c>
      <c r="D111" s="12" t="inlineStr">
        <is>
          <t>03</t>
        </is>
      </c>
      <c r="E111" s="7" t="n">
        <v>2</v>
      </c>
      <c r="F111" s="7">
        <f>A111&amp;B111&amp;"-"&amp;C111&amp;E111&amp;"-"&amp;D111</f>
        <v/>
      </c>
      <c r="G111" s="7" t="n">
        <v>959</v>
      </c>
      <c r="H111" s="47">
        <f>_xlfn.XLOOKUP(G111,'All Associates'!A:A,'All Associates'!B:B)</f>
        <v/>
      </c>
      <c r="I111" s="47">
        <f>_xlfn.XLOOKUP(G111,'All Associates'!A:A,'All Associates'!D:D)</f>
        <v/>
      </c>
      <c r="J111" s="11">
        <f>IF(G111&lt;&gt;"","Allocated","Available")</f>
        <v/>
      </c>
    </row>
    <row r="112">
      <c r="A112" s="6" t="inlineStr">
        <is>
          <t>R</t>
        </is>
      </c>
      <c r="B112" s="6" t="n">
        <v>3</v>
      </c>
      <c r="C112" s="6" t="inlineStr">
        <is>
          <t>H</t>
        </is>
      </c>
      <c r="D112" s="12" t="inlineStr">
        <is>
          <t>04</t>
        </is>
      </c>
      <c r="E112" s="7" t="n">
        <v>2</v>
      </c>
      <c r="F112" s="7">
        <f>A112&amp;B112&amp;"-"&amp;C112&amp;E112&amp;"-"&amp;D112</f>
        <v/>
      </c>
      <c r="G112" s="7" t="n">
        <v>911</v>
      </c>
      <c r="H112" s="47">
        <f>_xlfn.XLOOKUP(G112,'All Associates'!A:A,'All Associates'!B:B)</f>
        <v/>
      </c>
      <c r="I112" s="47">
        <f>_xlfn.XLOOKUP(G112,'All Associates'!A:A,'All Associates'!D:D)</f>
        <v/>
      </c>
      <c r="J112" s="11">
        <f>IF(G112&lt;&gt;"","Allocated","Available")</f>
        <v/>
      </c>
    </row>
    <row r="113">
      <c r="A113" s="6" t="inlineStr">
        <is>
          <t>R</t>
        </is>
      </c>
      <c r="B113" s="6" t="n">
        <v>3</v>
      </c>
      <c r="C113" s="6" t="inlineStr">
        <is>
          <t>H</t>
        </is>
      </c>
      <c r="D113" s="12" t="inlineStr">
        <is>
          <t>05</t>
        </is>
      </c>
      <c r="E113" s="7" t="n">
        <v>2</v>
      </c>
      <c r="F113" s="7">
        <f>A113&amp;B113&amp;"-"&amp;C113&amp;E113&amp;"-"&amp;D113</f>
        <v/>
      </c>
      <c r="G113" s="7" t="n">
        <v>1183</v>
      </c>
      <c r="H113" s="47">
        <f>_xlfn.XLOOKUP(G113,'All Associates'!A:A,'All Associates'!B:B)</f>
        <v/>
      </c>
      <c r="I113" s="47">
        <f>_xlfn.XLOOKUP(G113,'All Associates'!A:A,'All Associates'!D:D)</f>
        <v/>
      </c>
      <c r="J113" s="11">
        <f>IF(G113&lt;&gt;"","Allocated","Available")</f>
        <v/>
      </c>
    </row>
    <row r="114">
      <c r="A114" s="6" t="inlineStr">
        <is>
          <t>R</t>
        </is>
      </c>
      <c r="B114" s="6" t="n">
        <v>3</v>
      </c>
      <c r="C114" s="6" t="inlineStr">
        <is>
          <t>H</t>
        </is>
      </c>
      <c r="D114" s="12" t="inlineStr">
        <is>
          <t>06</t>
        </is>
      </c>
      <c r="E114" s="7" t="n">
        <v>2</v>
      </c>
      <c r="F114" s="7">
        <f>A114&amp;B114&amp;"-"&amp;C114&amp;E114&amp;"-"&amp;D114</f>
        <v/>
      </c>
      <c r="G114" s="7" t="n">
        <v>946</v>
      </c>
      <c r="H114" s="47">
        <f>_xlfn.XLOOKUP(G114,'All Associates'!A:A,'All Associates'!B:B)</f>
        <v/>
      </c>
      <c r="I114" s="47">
        <f>_xlfn.XLOOKUP(G114,'All Associates'!A:A,'All Associates'!D:D)</f>
        <v/>
      </c>
      <c r="J114" s="11">
        <f>IF(G114&lt;&gt;"","Allocated","Available")</f>
        <v/>
      </c>
    </row>
    <row r="115" hidden="1">
      <c r="A115" s="6" t="inlineStr">
        <is>
          <t>R</t>
        </is>
      </c>
      <c r="B115" s="6" t="n">
        <v>3</v>
      </c>
      <c r="C115" s="6" t="inlineStr">
        <is>
          <t>H</t>
        </is>
      </c>
      <c r="D115" s="12" t="inlineStr">
        <is>
          <t>07</t>
        </is>
      </c>
      <c r="E115" s="7" t="n">
        <v>2</v>
      </c>
      <c r="F115" s="7">
        <f>A115&amp;B115&amp;"-"&amp;C115&amp;E115&amp;"-"&amp;D115</f>
        <v/>
      </c>
      <c r="G115" s="7" t="n"/>
      <c r="H115" s="47" t="n"/>
      <c r="I115" s="47" t="n"/>
      <c r="J115" s="11" t="n"/>
    </row>
    <row r="116">
      <c r="A116" s="6" t="inlineStr">
        <is>
          <t>R</t>
        </is>
      </c>
      <c r="B116" s="6" t="n">
        <v>3</v>
      </c>
      <c r="C116" s="6" t="inlineStr">
        <is>
          <t>H</t>
        </is>
      </c>
      <c r="D116" s="12" t="inlineStr">
        <is>
          <t>07</t>
        </is>
      </c>
      <c r="E116" s="7" t="n">
        <v>2</v>
      </c>
      <c r="F116" s="7">
        <f>A116&amp;B116&amp;"-"&amp;C116&amp;E116&amp;"-"&amp;D116</f>
        <v/>
      </c>
      <c r="G116" s="7" t="n">
        <v>1234</v>
      </c>
      <c r="H116" s="47">
        <f>_xlfn.XLOOKUP(G116,'All Associates'!A:A,'All Associates'!B:B)</f>
        <v/>
      </c>
      <c r="I116" s="47">
        <f>_xlfn.XLOOKUP(G116,'All Associates'!A:A,'All Associates'!D:D)</f>
        <v/>
      </c>
      <c r="J116" s="11">
        <f>IF(G116&lt;&gt;"","Allocated","Available")</f>
        <v/>
      </c>
    </row>
    <row r="117">
      <c r="A117" s="6" t="inlineStr">
        <is>
          <t>R</t>
        </is>
      </c>
      <c r="B117" s="6" t="n">
        <v>3</v>
      </c>
      <c r="C117" s="6" t="inlineStr">
        <is>
          <t>H</t>
        </is>
      </c>
      <c r="D117" s="12" t="inlineStr">
        <is>
          <t>08</t>
        </is>
      </c>
      <c r="E117" s="7" t="n">
        <v>2</v>
      </c>
      <c r="F117" s="7">
        <f>A117&amp;B117&amp;"-"&amp;C117&amp;E117&amp;"-"&amp;D117</f>
        <v/>
      </c>
      <c r="G117" s="7" t="n">
        <v>2044</v>
      </c>
      <c r="H117" s="47">
        <f>_xlfn.XLOOKUP(G117,'All Associates'!A:A,'All Associates'!B:B)</f>
        <v/>
      </c>
      <c r="I117" s="47">
        <f>_xlfn.XLOOKUP(G117,'All Associates'!A:A,'All Associates'!D:D)</f>
        <v/>
      </c>
      <c r="J117" s="11">
        <f>IF(G117&lt;&gt;"","Allocated","Available")</f>
        <v/>
      </c>
    </row>
    <row r="118">
      <c r="A118" s="6" t="inlineStr">
        <is>
          <t>R</t>
        </is>
      </c>
      <c r="B118" s="6" t="n">
        <v>3</v>
      </c>
      <c r="C118" s="6" t="inlineStr">
        <is>
          <t>H</t>
        </is>
      </c>
      <c r="D118" s="12" t="inlineStr">
        <is>
          <t>01</t>
        </is>
      </c>
      <c r="E118" s="7" t="n">
        <v>3</v>
      </c>
      <c r="F118" s="7">
        <f>A118&amp;B118&amp;"-"&amp;C118&amp;E118&amp;"-"&amp;D118</f>
        <v/>
      </c>
      <c r="G118" s="7" t="n">
        <v>764</v>
      </c>
      <c r="H118" s="47">
        <f>_xlfn.XLOOKUP(G118,'All Associates'!A:A,'All Associates'!B:B)</f>
        <v/>
      </c>
      <c r="I118" s="47">
        <f>_xlfn.XLOOKUP(G118,'All Associates'!A:A,'All Associates'!D:D)</f>
        <v/>
      </c>
      <c r="J118" s="11">
        <f>IF(G118&lt;&gt;"","Allocated","Available")</f>
        <v/>
      </c>
    </row>
    <row r="119">
      <c r="A119" s="6" t="inlineStr">
        <is>
          <t>R</t>
        </is>
      </c>
      <c r="B119" s="6" t="n">
        <v>3</v>
      </c>
      <c r="C119" s="6" t="inlineStr">
        <is>
          <t>H</t>
        </is>
      </c>
      <c r="D119" s="12" t="inlineStr">
        <is>
          <t>02</t>
        </is>
      </c>
      <c r="E119" s="7" t="n">
        <v>3</v>
      </c>
      <c r="F119" s="7">
        <f>A119&amp;B119&amp;"-"&amp;C119&amp;E119&amp;"-"&amp;D119</f>
        <v/>
      </c>
      <c r="G119" s="7" t="n">
        <v>720</v>
      </c>
      <c r="H119" s="47">
        <f>_xlfn.XLOOKUP(G119,'All Associates'!A:A,'All Associates'!B:B)</f>
        <v/>
      </c>
      <c r="I119" s="47">
        <f>_xlfn.XLOOKUP(G119,'All Associates'!A:A,'All Associates'!D:D)</f>
        <v/>
      </c>
      <c r="J119" s="11">
        <f>IF(G119&lt;&gt;"","Allocated","Available")</f>
        <v/>
      </c>
    </row>
    <row r="120">
      <c r="A120" s="6" t="inlineStr">
        <is>
          <t>R</t>
        </is>
      </c>
      <c r="B120" s="6" t="n">
        <v>3</v>
      </c>
      <c r="C120" s="6" t="inlineStr">
        <is>
          <t>H</t>
        </is>
      </c>
      <c r="D120" s="12" t="inlineStr">
        <is>
          <t>03</t>
        </is>
      </c>
      <c r="E120" s="7" t="n">
        <v>3</v>
      </c>
      <c r="F120" s="7">
        <f>A120&amp;B120&amp;"-"&amp;C120&amp;E120&amp;"-"&amp;D120</f>
        <v/>
      </c>
      <c r="G120" s="7" t="n">
        <v>786</v>
      </c>
      <c r="H120" s="47">
        <f>_xlfn.XLOOKUP(G120,'All Associates'!A:A,'All Associates'!B:B)</f>
        <v/>
      </c>
      <c r="I120" s="47">
        <f>_xlfn.XLOOKUP(G120,'All Associates'!A:A,'All Associates'!D:D)</f>
        <v/>
      </c>
      <c r="J120" s="11">
        <f>IF(G120&lt;&gt;"","Allocated","Available")</f>
        <v/>
      </c>
    </row>
    <row r="121">
      <c r="A121" s="6" t="inlineStr">
        <is>
          <t>R</t>
        </is>
      </c>
      <c r="B121" s="6" t="n">
        <v>3</v>
      </c>
      <c r="C121" s="6" t="inlineStr">
        <is>
          <t>H</t>
        </is>
      </c>
      <c r="D121" s="12" t="inlineStr">
        <is>
          <t>04</t>
        </is>
      </c>
      <c r="E121" s="7" t="n">
        <v>3</v>
      </c>
      <c r="F121" s="7">
        <f>A121&amp;B121&amp;"-"&amp;C121&amp;E121&amp;"-"&amp;D121</f>
        <v/>
      </c>
      <c r="G121" s="7" t="n">
        <v>400</v>
      </c>
      <c r="H121" s="47">
        <f>_xlfn.XLOOKUP(G121,'All Associates'!A:A,'All Associates'!B:B)</f>
        <v/>
      </c>
      <c r="I121" s="47">
        <f>_xlfn.XLOOKUP(G121,'All Associates'!A:A,'All Associates'!D:D)</f>
        <v/>
      </c>
      <c r="J121" s="11">
        <f>IF(G121&lt;&gt;"","Allocated","Available")</f>
        <v/>
      </c>
    </row>
    <row r="122">
      <c r="A122" s="6" t="inlineStr">
        <is>
          <t>R</t>
        </is>
      </c>
      <c r="B122" s="6" t="n">
        <v>3</v>
      </c>
      <c r="C122" s="6" t="inlineStr">
        <is>
          <t>H</t>
        </is>
      </c>
      <c r="D122" s="12" t="inlineStr">
        <is>
          <t>05</t>
        </is>
      </c>
      <c r="E122" s="7" t="n">
        <v>3</v>
      </c>
      <c r="F122" s="7">
        <f>A122&amp;B122&amp;"-"&amp;C122&amp;E122&amp;"-"&amp;D122</f>
        <v/>
      </c>
      <c r="G122" s="7" t="n">
        <v>549</v>
      </c>
      <c r="H122" s="47">
        <f>_xlfn.XLOOKUP(G122,'All Associates'!A:A,'All Associates'!B:B)</f>
        <v/>
      </c>
      <c r="I122" s="47">
        <f>_xlfn.XLOOKUP(G122,'All Associates'!A:A,'All Associates'!D:D)</f>
        <v/>
      </c>
      <c r="J122" s="11">
        <f>IF(G122&lt;&gt;"","Allocated","Available")</f>
        <v/>
      </c>
    </row>
    <row r="123">
      <c r="A123" s="6" t="inlineStr">
        <is>
          <t>R</t>
        </is>
      </c>
      <c r="B123" s="6" t="n">
        <v>3</v>
      </c>
      <c r="C123" s="6" t="inlineStr">
        <is>
          <t>H</t>
        </is>
      </c>
      <c r="D123" s="12" t="inlineStr">
        <is>
          <t>06</t>
        </is>
      </c>
      <c r="E123" s="7" t="n">
        <v>3</v>
      </c>
      <c r="F123" s="7">
        <f>A123&amp;B123&amp;"-"&amp;C123&amp;E123&amp;"-"&amp;D123</f>
        <v/>
      </c>
      <c r="G123" s="7" t="n">
        <v>706</v>
      </c>
      <c r="H123" s="47">
        <f>_xlfn.XLOOKUP(G123,'All Associates'!A:A,'All Associates'!B:B)</f>
        <v/>
      </c>
      <c r="I123" s="47">
        <f>_xlfn.XLOOKUP(G123,'All Associates'!A:A,'All Associates'!D:D)</f>
        <v/>
      </c>
      <c r="J123" s="11">
        <f>IF(G123&lt;&gt;"","Allocated","Available")</f>
        <v/>
      </c>
    </row>
    <row r="124">
      <c r="A124" s="6" t="inlineStr">
        <is>
          <t>R</t>
        </is>
      </c>
      <c r="B124" s="6" t="n">
        <v>3</v>
      </c>
      <c r="C124" s="6" t="inlineStr">
        <is>
          <t>H</t>
        </is>
      </c>
      <c r="D124" s="12" t="inlineStr">
        <is>
          <t>01</t>
        </is>
      </c>
      <c r="E124" s="7" t="n">
        <v>4</v>
      </c>
      <c r="F124" s="7">
        <f>A124&amp;B124&amp;"-"&amp;C124&amp;E124&amp;"-"&amp;D124</f>
        <v/>
      </c>
      <c r="G124" s="7" t="n">
        <v>1031</v>
      </c>
      <c r="H124" s="47">
        <f>_xlfn.XLOOKUP(G124,'All Associates'!A:A,'All Associates'!B:B)</f>
        <v/>
      </c>
      <c r="I124" s="47">
        <f>_xlfn.XLOOKUP(G124,'All Associates'!A:A,'All Associates'!D:D)</f>
        <v/>
      </c>
      <c r="J124" s="11">
        <f>IF(G124&lt;&gt;"","Allocated","Available")</f>
        <v/>
      </c>
    </row>
    <row r="125">
      <c r="A125" s="6" t="inlineStr">
        <is>
          <t>R</t>
        </is>
      </c>
      <c r="B125" s="6" t="n">
        <v>3</v>
      </c>
      <c r="C125" s="6" t="inlineStr">
        <is>
          <t>H</t>
        </is>
      </c>
      <c r="D125" s="12" t="inlineStr">
        <is>
          <t>02</t>
        </is>
      </c>
      <c r="E125" s="7" t="n">
        <v>4</v>
      </c>
      <c r="F125" s="7">
        <f>A125&amp;B125&amp;"-"&amp;C125&amp;E125&amp;"-"&amp;D125</f>
        <v/>
      </c>
      <c r="G125" s="7" t="n">
        <v>480</v>
      </c>
      <c r="H125" s="47">
        <f>_xlfn.XLOOKUP(G125,'All Associates'!A:A,'All Associates'!B:B)</f>
        <v/>
      </c>
      <c r="I125" s="47">
        <f>_xlfn.XLOOKUP(G125,'All Associates'!A:A,'All Associates'!D:D)</f>
        <v/>
      </c>
      <c r="J125" s="11">
        <f>IF(G125&lt;&gt;"","Allocated","Available")</f>
        <v/>
      </c>
    </row>
    <row r="126">
      <c r="A126" s="6" t="inlineStr">
        <is>
          <t>R</t>
        </is>
      </c>
      <c r="B126" s="6" t="n">
        <v>3</v>
      </c>
      <c r="C126" s="6" t="inlineStr">
        <is>
          <t>H</t>
        </is>
      </c>
      <c r="D126" s="12" t="inlineStr">
        <is>
          <t>03</t>
        </is>
      </c>
      <c r="E126" s="7" t="n">
        <v>4</v>
      </c>
      <c r="F126" s="7">
        <f>A126&amp;B126&amp;"-"&amp;C126&amp;E126&amp;"-"&amp;D126</f>
        <v/>
      </c>
      <c r="G126" s="7" t="n">
        <v>861</v>
      </c>
      <c r="H126" s="47">
        <f>_xlfn.XLOOKUP(G126,'All Associates'!A:A,'All Associates'!B:B)</f>
        <v/>
      </c>
      <c r="I126" s="47">
        <f>_xlfn.XLOOKUP(G126,'All Associates'!A:A,'All Associates'!D:D)</f>
        <v/>
      </c>
      <c r="J126" s="11">
        <f>IF(G126&lt;&gt;"","Allocated","Available")</f>
        <v/>
      </c>
    </row>
    <row r="127">
      <c r="A127" s="6" t="inlineStr">
        <is>
          <t>R</t>
        </is>
      </c>
      <c r="B127" s="6" t="n">
        <v>3</v>
      </c>
      <c r="C127" s="6" t="inlineStr">
        <is>
          <t>H</t>
        </is>
      </c>
      <c r="D127" s="12" t="inlineStr">
        <is>
          <t>04</t>
        </is>
      </c>
      <c r="E127" s="7" t="n">
        <v>4</v>
      </c>
      <c r="F127" s="7">
        <f>A127&amp;B127&amp;"-"&amp;C127&amp;E127&amp;"-"&amp;D127</f>
        <v/>
      </c>
      <c r="G127" s="7" t="n">
        <v>64</v>
      </c>
      <c r="H127" s="47">
        <f>_xlfn.XLOOKUP(G127,'All Associates'!A:A,'All Associates'!B:B)</f>
        <v/>
      </c>
      <c r="I127" s="47">
        <f>_xlfn.XLOOKUP(G127,'All Associates'!A:A,'All Associates'!D:D)</f>
        <v/>
      </c>
      <c r="J127" s="11">
        <f>IF(G127&lt;&gt;"","Allocated","Available")</f>
        <v/>
      </c>
    </row>
    <row r="128">
      <c r="A128" s="6" t="inlineStr">
        <is>
          <t>R</t>
        </is>
      </c>
      <c r="B128" s="6" t="n">
        <v>3</v>
      </c>
      <c r="C128" s="6" t="inlineStr">
        <is>
          <t>H</t>
        </is>
      </c>
      <c r="D128" s="12" t="inlineStr">
        <is>
          <t>05</t>
        </is>
      </c>
      <c r="E128" s="7" t="n">
        <v>4</v>
      </c>
      <c r="F128" s="7">
        <f>A128&amp;B128&amp;"-"&amp;C128&amp;E128&amp;"-"&amp;D128</f>
        <v/>
      </c>
      <c r="G128" s="7" t="n">
        <v>788</v>
      </c>
      <c r="H128" s="47">
        <f>_xlfn.XLOOKUP(G128,'All Associates'!A:A,'All Associates'!B:B)</f>
        <v/>
      </c>
      <c r="I128" s="47">
        <f>_xlfn.XLOOKUP(G128,'All Associates'!A:A,'All Associates'!D:D)</f>
        <v/>
      </c>
      <c r="J128" s="11">
        <f>IF(G128&lt;&gt;"","Allocated","Available")</f>
        <v/>
      </c>
    </row>
    <row r="129">
      <c r="A129" s="6" t="inlineStr">
        <is>
          <t>R</t>
        </is>
      </c>
      <c r="B129" s="6" t="n">
        <v>3</v>
      </c>
      <c r="C129" s="6" t="inlineStr">
        <is>
          <t>H</t>
        </is>
      </c>
      <c r="D129" s="12" t="inlineStr">
        <is>
          <t>06</t>
        </is>
      </c>
      <c r="E129" s="7" t="n">
        <v>4</v>
      </c>
      <c r="F129" s="7">
        <f>A129&amp;B129&amp;"-"&amp;C129&amp;E129&amp;"-"&amp;D129</f>
        <v/>
      </c>
      <c r="G129" s="7" t="n">
        <v>330</v>
      </c>
      <c r="H129" s="47">
        <f>_xlfn.XLOOKUP(G129,'All Associates'!A:A,'All Associates'!B:B)</f>
        <v/>
      </c>
      <c r="I129" s="47">
        <f>_xlfn.XLOOKUP(G129,'All Associates'!A:A,'All Associates'!D:D)</f>
        <v/>
      </c>
      <c r="J129" s="11">
        <f>IF(G129&lt;&gt;"","Allocated","Available")</f>
        <v/>
      </c>
    </row>
    <row r="130">
      <c r="A130" s="6" t="inlineStr">
        <is>
          <t>R</t>
        </is>
      </c>
      <c r="B130" s="6" t="n">
        <v>3</v>
      </c>
      <c r="C130" s="6" t="inlineStr">
        <is>
          <t>H</t>
        </is>
      </c>
      <c r="D130" s="12" t="inlineStr">
        <is>
          <t>01</t>
        </is>
      </c>
      <c r="E130" s="7" t="inlineStr">
        <is>
          <t>M1</t>
        </is>
      </c>
      <c r="F130" s="7">
        <f>A130&amp;B130&amp;"-"&amp;C130&amp;E130&amp;"-"&amp;D130</f>
        <v/>
      </c>
      <c r="G130" s="7" t="n"/>
      <c r="H130" s="47">
        <f>_xlfn.XLOOKUP(G130,'All Associates'!A:A,'All Associates'!B:B)</f>
        <v/>
      </c>
      <c r="I130" s="47">
        <f>_xlfn.XLOOKUP(G130,'All Associates'!A:A,'All Associates'!D:D)</f>
        <v/>
      </c>
      <c r="J130" s="11">
        <f>IF(G130&lt;&gt;"","Allocated","Available")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GwJHjc31iteec6fIgvdItA==" formatRows="1" sort="0" spinCount="100000" hashValue="4HrtEOnhWPvb3IwU37TQpfVYKpAqxAlMF5pzNh9Ct1sH0SjcJKSdCGTb5Di+veDi8xBR2x4c+kkWXwooOoQdwg=="/>
  <autoFilter ref="A1:J130">
    <sortState ref="A2:J130">
      <sortCondition ref="F1:F130"/>
    </sortState>
  </autoFilter>
  <conditionalFormatting sqref="G1">
    <cfRule type="duplicateValues" priority="2" dxfId="0"/>
  </conditionalFormatting>
  <conditionalFormatting sqref="G1:G1048576">
    <cfRule type="duplicateValues" priority="1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0" zoomScaleNormal="100" workbookViewId="0">
      <pane xSplit="3" ySplit="1" topLeftCell="D70" activePane="bottomRight" state="frozen"/>
      <selection pane="bottomRight" activeCell="O87" sqref="O87"/>
      <selection pane="bottomLeft" activeCell="A2" sqref="A2"/>
      <selection pane="topRight" activeCell="E1" sqref="E1"/>
    </sheetView>
  </sheetViews>
  <sheetFormatPr baseColWidth="8" defaultColWidth="8.7109375" defaultRowHeight="15"/>
  <cols>
    <col width="9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5.28515625" customWidth="1" style="1" min="7" max="7"/>
    <col width="30" customWidth="1" style="18" min="8" max="8"/>
    <col width="25.28515625" bestFit="1" customWidth="1" style="18" min="9" max="9"/>
    <col width="16.140625" customWidth="1" min="10" max="10"/>
    <col width="11.42578125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48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R</t>
        </is>
      </c>
      <c r="B2" s="6" t="n">
        <v>4</v>
      </c>
      <c r="C2" s="7" t="inlineStr">
        <is>
          <t>E</t>
        </is>
      </c>
      <c r="D2" s="12" t="inlineStr">
        <is>
          <t>01</t>
        </is>
      </c>
      <c r="E2" s="7" t="n">
        <v>1</v>
      </c>
      <c r="F2" s="7">
        <f>A2&amp;B2&amp;"-"&amp;C2&amp;E2&amp;"-"&amp;D2</f>
        <v/>
      </c>
      <c r="G2" s="6" t="n">
        <v>362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11">
        <f>IF(G2&lt;&gt;"","Allocated","Available")</f>
        <v/>
      </c>
    </row>
    <row r="3">
      <c r="A3" s="6" t="inlineStr">
        <is>
          <t>R</t>
        </is>
      </c>
      <c r="B3" s="6" t="n">
        <v>4</v>
      </c>
      <c r="C3" s="7" t="inlineStr">
        <is>
          <t>E</t>
        </is>
      </c>
      <c r="D3" s="12" t="inlineStr">
        <is>
          <t>02</t>
        </is>
      </c>
      <c r="E3" s="7" t="n">
        <v>1</v>
      </c>
      <c r="F3" s="7">
        <f>A3&amp;B3&amp;"-"&amp;C3&amp;E3&amp;"-"&amp;D3</f>
        <v/>
      </c>
      <c r="G3" s="6" t="n">
        <v>874</v>
      </c>
      <c r="H3" s="47">
        <f>_xlfn.XLOOKUP(G3,'All Associates'!A:A,'All Associates'!B:B)</f>
        <v/>
      </c>
      <c r="I3" s="47">
        <f>_xlfn.XLOOKUP(G3,'All Associates'!A:A,'All Associates'!D:D)</f>
        <v/>
      </c>
      <c r="J3" s="11">
        <f>IF(G3&lt;&gt;"","Allocated","Available")</f>
        <v/>
      </c>
    </row>
    <row r="4">
      <c r="A4" s="6" t="inlineStr">
        <is>
          <t>R</t>
        </is>
      </c>
      <c r="B4" s="6" t="n">
        <v>4</v>
      </c>
      <c r="C4" s="7" t="inlineStr">
        <is>
          <t>E</t>
        </is>
      </c>
      <c r="D4" s="12" t="inlineStr">
        <is>
          <t>03</t>
        </is>
      </c>
      <c r="E4" s="7" t="n">
        <v>1</v>
      </c>
      <c r="F4" s="7">
        <f>A4&amp;B4&amp;"-"&amp;C4&amp;E4&amp;"-"&amp;D4</f>
        <v/>
      </c>
      <c r="G4" s="6" t="n">
        <v>606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11">
        <f>IF(G4&lt;&gt;"","Allocated","Available")</f>
        <v/>
      </c>
    </row>
    <row r="5">
      <c r="A5" s="6" t="inlineStr">
        <is>
          <t>R</t>
        </is>
      </c>
      <c r="B5" s="6" t="n">
        <v>4</v>
      </c>
      <c r="C5" s="7" t="inlineStr">
        <is>
          <t>E</t>
        </is>
      </c>
      <c r="D5" s="12" t="inlineStr">
        <is>
          <t>04</t>
        </is>
      </c>
      <c r="E5" s="7" t="n">
        <v>1</v>
      </c>
      <c r="F5" s="7">
        <f>A5&amp;B5&amp;"-"&amp;C5&amp;E5&amp;"-"&amp;D5</f>
        <v/>
      </c>
      <c r="G5" s="6" t="n">
        <v>1136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11">
        <f>IF(G5&lt;&gt;"","Allocated","Available")</f>
        <v/>
      </c>
    </row>
    <row r="6">
      <c r="A6" s="6" t="inlineStr">
        <is>
          <t>R</t>
        </is>
      </c>
      <c r="B6" s="6" t="n">
        <v>4</v>
      </c>
      <c r="C6" s="7" t="inlineStr">
        <is>
          <t>E</t>
        </is>
      </c>
      <c r="D6" s="12" t="inlineStr">
        <is>
          <t>05</t>
        </is>
      </c>
      <c r="E6" s="7" t="n">
        <v>1</v>
      </c>
      <c r="F6" s="7">
        <f>A6&amp;B6&amp;"-"&amp;C6&amp;E6&amp;"-"&amp;D6</f>
        <v/>
      </c>
      <c r="G6" s="6" t="n"/>
      <c r="H6" s="47">
        <f>_xlfn.XLOOKUP(G6,'All Associates'!A:A,'All Associates'!B:B)</f>
        <v/>
      </c>
      <c r="I6" s="47">
        <f>_xlfn.XLOOKUP(G6,'All Associates'!A:A,'All Associates'!D:D)</f>
        <v/>
      </c>
      <c r="J6" s="11">
        <f>IF(G6&lt;&gt;"","Allocated","Available")</f>
        <v/>
      </c>
    </row>
    <row r="7">
      <c r="A7" s="6" t="inlineStr">
        <is>
          <t>R</t>
        </is>
      </c>
      <c r="B7" s="6" t="n">
        <v>4</v>
      </c>
      <c r="C7" s="7" t="inlineStr">
        <is>
          <t>E</t>
        </is>
      </c>
      <c r="D7" s="12" t="inlineStr">
        <is>
          <t>01</t>
        </is>
      </c>
      <c r="E7" s="7" t="n">
        <v>2</v>
      </c>
      <c r="F7" s="7">
        <f>A7&amp;B7&amp;"-"&amp;C7&amp;E7&amp;"-"&amp;D7</f>
        <v/>
      </c>
      <c r="G7" s="6" t="n">
        <v>404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11">
        <f>IF(G7&lt;&gt;"","Allocated","Available")</f>
        <v/>
      </c>
    </row>
    <row r="8">
      <c r="A8" s="6" t="inlineStr">
        <is>
          <t>R</t>
        </is>
      </c>
      <c r="B8" s="6" t="n">
        <v>4</v>
      </c>
      <c r="C8" s="7" t="inlineStr">
        <is>
          <t>E</t>
        </is>
      </c>
      <c r="D8" s="12" t="inlineStr">
        <is>
          <t>02</t>
        </is>
      </c>
      <c r="E8" s="7" t="n">
        <v>2</v>
      </c>
      <c r="F8" s="7">
        <f>A8&amp;B8&amp;"-"&amp;C8&amp;E8&amp;"-"&amp;D8</f>
        <v/>
      </c>
      <c r="G8" s="6" t="n">
        <v>579</v>
      </c>
      <c r="H8" s="47">
        <f>_xlfn.XLOOKUP(G8,'All Associates'!A:A,'All Associates'!B:B)</f>
        <v/>
      </c>
      <c r="I8" s="47">
        <f>_xlfn.XLOOKUP(G8,'All Associates'!A:A,'All Associates'!D:D)</f>
        <v/>
      </c>
      <c r="J8" s="11">
        <f>IF(G8&lt;&gt;"","Allocated","Available")</f>
        <v/>
      </c>
    </row>
    <row r="9">
      <c r="A9" s="6" t="inlineStr">
        <is>
          <t>R</t>
        </is>
      </c>
      <c r="B9" s="6" t="n">
        <v>4</v>
      </c>
      <c r="C9" s="7" t="inlineStr">
        <is>
          <t>E</t>
        </is>
      </c>
      <c r="D9" s="12" t="inlineStr">
        <is>
          <t>03</t>
        </is>
      </c>
      <c r="E9" s="7" t="n">
        <v>2</v>
      </c>
      <c r="F9" s="7">
        <f>A9&amp;B9&amp;"-"&amp;C9&amp;E9&amp;"-"&amp;D9</f>
        <v/>
      </c>
      <c r="G9" s="6" t="n">
        <v>350</v>
      </c>
      <c r="H9" s="47">
        <f>_xlfn.XLOOKUP(G9,'All Associates'!A:A,'All Associates'!B:B)</f>
        <v/>
      </c>
      <c r="I9" s="47">
        <f>_xlfn.XLOOKUP(G9,'All Associates'!A:A,'All Associates'!D:D)</f>
        <v/>
      </c>
      <c r="J9" s="11">
        <f>IF(G9&lt;&gt;"","Allocated","Available")</f>
        <v/>
      </c>
    </row>
    <row r="10">
      <c r="A10" s="6" t="inlineStr">
        <is>
          <t>R</t>
        </is>
      </c>
      <c r="B10" s="6" t="n">
        <v>4</v>
      </c>
      <c r="C10" s="7" t="inlineStr">
        <is>
          <t>E</t>
        </is>
      </c>
      <c r="D10" s="12" t="inlineStr">
        <is>
          <t>04</t>
        </is>
      </c>
      <c r="E10" s="7" t="n">
        <v>2</v>
      </c>
      <c r="F10" s="7">
        <f>A10&amp;B10&amp;"-"&amp;C10&amp;E10&amp;"-"&amp;D10</f>
        <v/>
      </c>
      <c r="G10" s="6" t="n">
        <v>507</v>
      </c>
      <c r="H10" s="47">
        <f>_xlfn.XLOOKUP(G10,'All Associates'!A:A,'All Associates'!B:B)</f>
        <v/>
      </c>
      <c r="I10" s="47">
        <f>_xlfn.XLOOKUP(G10,'All Associates'!A:A,'All Associates'!D:D)</f>
        <v/>
      </c>
      <c r="J10" s="11">
        <f>IF(G10&lt;&gt;"","Allocated","Available")</f>
        <v/>
      </c>
    </row>
    <row r="11">
      <c r="A11" s="6" t="inlineStr">
        <is>
          <t>R</t>
        </is>
      </c>
      <c r="B11" s="6" t="n">
        <v>4</v>
      </c>
      <c r="C11" s="7" t="inlineStr">
        <is>
          <t>E</t>
        </is>
      </c>
      <c r="D11" s="12" t="inlineStr">
        <is>
          <t>05</t>
        </is>
      </c>
      <c r="E11" s="7" t="n">
        <v>2</v>
      </c>
      <c r="F11" s="7">
        <f>A11&amp;B11&amp;"-"&amp;C11&amp;E11&amp;"-"&amp;D11</f>
        <v/>
      </c>
      <c r="G11" s="6" t="n">
        <v>926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11">
        <f>IF(G11&lt;&gt;"","Allocated","Available")</f>
        <v/>
      </c>
    </row>
    <row r="12">
      <c r="A12" s="6" t="inlineStr">
        <is>
          <t>R</t>
        </is>
      </c>
      <c r="B12" s="6" t="n">
        <v>4</v>
      </c>
      <c r="C12" s="7" t="inlineStr">
        <is>
          <t>E</t>
        </is>
      </c>
      <c r="D12" s="12" t="inlineStr">
        <is>
          <t>06</t>
        </is>
      </c>
      <c r="E12" s="7" t="n">
        <v>2</v>
      </c>
      <c r="F12" s="7">
        <f>A12&amp;B12&amp;"-"&amp;C12&amp;E12&amp;"-"&amp;D12</f>
        <v/>
      </c>
      <c r="G12" s="6" t="n">
        <v>990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11">
        <f>IF(G12&lt;&gt;"","Allocated","Available")</f>
        <v/>
      </c>
    </row>
    <row r="13">
      <c r="A13" s="6" t="inlineStr">
        <is>
          <t>R</t>
        </is>
      </c>
      <c r="B13" s="6" t="n">
        <v>4</v>
      </c>
      <c r="C13" s="7" t="inlineStr">
        <is>
          <t>E</t>
        </is>
      </c>
      <c r="D13" s="12" t="inlineStr">
        <is>
          <t>07</t>
        </is>
      </c>
      <c r="E13" s="7" t="n">
        <v>2</v>
      </c>
      <c r="F13" s="7">
        <f>A13&amp;B13&amp;"-"&amp;C13&amp;E13&amp;"-"&amp;D13</f>
        <v/>
      </c>
      <c r="G13" s="6" t="n"/>
      <c r="H13" s="47">
        <f>_xlfn.XLOOKUP(G13,'All Associates'!A:A,'All Associates'!B:B)</f>
        <v/>
      </c>
      <c r="I13" s="47">
        <f>_xlfn.XLOOKUP(G13,'All Associates'!A:A,'All Associates'!D:D)</f>
        <v/>
      </c>
      <c r="J13" s="11">
        <f>IF(G13&lt;&gt;"","Allocated","Available")</f>
        <v/>
      </c>
    </row>
    <row r="14">
      <c r="A14" s="6" t="inlineStr">
        <is>
          <t>R</t>
        </is>
      </c>
      <c r="B14" s="6" t="n">
        <v>4</v>
      </c>
      <c r="C14" s="7" t="inlineStr">
        <is>
          <t>E</t>
        </is>
      </c>
      <c r="D14" s="12" t="inlineStr">
        <is>
          <t>01</t>
        </is>
      </c>
      <c r="E14" s="7" t="n">
        <v>3</v>
      </c>
      <c r="F14" s="7">
        <f>A14&amp;B14&amp;"-"&amp;C14&amp;E14&amp;"-"&amp;D14</f>
        <v/>
      </c>
      <c r="G14" s="6" t="n">
        <v>194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11">
        <f>IF(G14&lt;&gt;"","Allocated","Available")</f>
        <v/>
      </c>
    </row>
    <row r="15">
      <c r="A15" s="6" t="inlineStr">
        <is>
          <t>R</t>
        </is>
      </c>
      <c r="B15" s="6" t="n">
        <v>4</v>
      </c>
      <c r="C15" s="7" t="inlineStr">
        <is>
          <t>E</t>
        </is>
      </c>
      <c r="D15" s="12" t="inlineStr">
        <is>
          <t>02</t>
        </is>
      </c>
      <c r="E15" s="7" t="n">
        <v>3</v>
      </c>
      <c r="F15" s="7">
        <f>A15&amp;B15&amp;"-"&amp;C15&amp;E15&amp;"-"&amp;D15</f>
        <v/>
      </c>
      <c r="G15" s="6" t="n">
        <v>717</v>
      </c>
      <c r="H15" s="47">
        <f>_xlfn.XLOOKUP(G15,'All Associates'!A:A,'All Associates'!B:B)</f>
        <v/>
      </c>
      <c r="I15" s="47">
        <f>_xlfn.XLOOKUP(G15,'All Associates'!A:A,'All Associates'!D:D)</f>
        <v/>
      </c>
      <c r="J15" s="11">
        <f>IF(G15&lt;&gt;"","Allocated","Available")</f>
        <v/>
      </c>
    </row>
    <row r="16">
      <c r="A16" s="6" t="inlineStr">
        <is>
          <t>R</t>
        </is>
      </c>
      <c r="B16" s="6" t="n">
        <v>4</v>
      </c>
      <c r="C16" s="7" t="inlineStr">
        <is>
          <t>E</t>
        </is>
      </c>
      <c r="D16" s="12" t="inlineStr">
        <is>
          <t>03</t>
        </is>
      </c>
      <c r="E16" s="7" t="n">
        <v>3</v>
      </c>
      <c r="F16" s="7">
        <f>A16&amp;B16&amp;"-"&amp;C16&amp;E16&amp;"-"&amp;D16</f>
        <v/>
      </c>
      <c r="G16" s="6" t="n">
        <v>276</v>
      </c>
      <c r="H16" s="47">
        <f>_xlfn.XLOOKUP(G16,'All Associates'!A:A,'All Associates'!B:B)</f>
        <v/>
      </c>
      <c r="I16" s="47">
        <f>_xlfn.XLOOKUP(G16,'All Associates'!A:A,'All Associates'!D:D)</f>
        <v/>
      </c>
      <c r="J16" s="11">
        <f>IF(G16&lt;&gt;"","Allocated","Available")</f>
        <v/>
      </c>
    </row>
    <row r="17">
      <c r="A17" s="6" t="inlineStr">
        <is>
          <t>R</t>
        </is>
      </c>
      <c r="B17" s="6" t="n">
        <v>4</v>
      </c>
      <c r="C17" s="7" t="inlineStr">
        <is>
          <t>E</t>
        </is>
      </c>
      <c r="D17" s="12" t="inlineStr">
        <is>
          <t>04</t>
        </is>
      </c>
      <c r="E17" s="7" t="n">
        <v>3</v>
      </c>
      <c r="F17" s="7">
        <f>A17&amp;B17&amp;"-"&amp;C17&amp;E17&amp;"-"&amp;D17</f>
        <v/>
      </c>
      <c r="G17" s="6" t="n">
        <v>1106</v>
      </c>
      <c r="H17" s="47">
        <f>_xlfn.XLOOKUP(G17,'All Associates'!A:A,'All Associates'!B:B)</f>
        <v/>
      </c>
      <c r="I17" s="47">
        <f>_xlfn.XLOOKUP(G17,'All Associates'!A:A,'All Associates'!D:D)</f>
        <v/>
      </c>
      <c r="J17" s="11">
        <f>IF(G17&lt;&gt;"","Allocated","Available")</f>
        <v/>
      </c>
    </row>
    <row r="18">
      <c r="A18" s="6" t="inlineStr">
        <is>
          <t>R</t>
        </is>
      </c>
      <c r="B18" s="6" t="n">
        <v>4</v>
      </c>
      <c r="C18" s="7" t="inlineStr">
        <is>
          <t>E</t>
        </is>
      </c>
      <c r="D18" s="12" t="inlineStr">
        <is>
          <t>05</t>
        </is>
      </c>
      <c r="E18" s="7" t="n">
        <v>3</v>
      </c>
      <c r="F18" s="7">
        <f>A18&amp;B18&amp;"-"&amp;C18&amp;E18&amp;"-"&amp;D18</f>
        <v/>
      </c>
      <c r="G18" s="6" t="n">
        <v>1173</v>
      </c>
      <c r="H18" s="47">
        <f>_xlfn.XLOOKUP(G18,'All Associates'!A:A,'All Associates'!B:B)</f>
        <v/>
      </c>
      <c r="I18" s="47">
        <f>_xlfn.XLOOKUP(G18,'All Associates'!A:A,'All Associates'!D:D)</f>
        <v/>
      </c>
      <c r="J18" s="11">
        <f>IF(G18&lt;&gt;"","Allocated","Available")</f>
        <v/>
      </c>
    </row>
    <row r="19">
      <c r="A19" s="6" t="inlineStr">
        <is>
          <t>R</t>
        </is>
      </c>
      <c r="B19" s="6" t="n">
        <v>4</v>
      </c>
      <c r="C19" s="7" t="inlineStr">
        <is>
          <t>E</t>
        </is>
      </c>
      <c r="D19" s="12" t="inlineStr">
        <is>
          <t>06</t>
        </is>
      </c>
      <c r="E19" s="7" t="n">
        <v>3</v>
      </c>
      <c r="F19" s="7">
        <f>A19&amp;B19&amp;"-"&amp;C19&amp;E19&amp;"-"&amp;D19</f>
        <v/>
      </c>
      <c r="G19" s="6" t="n">
        <v>351</v>
      </c>
      <c r="H19" s="47">
        <f>_xlfn.XLOOKUP(G19,'All Associates'!A:A,'All Associates'!B:B)</f>
        <v/>
      </c>
      <c r="I19" s="47">
        <f>_xlfn.XLOOKUP(G19,'All Associates'!A:A,'All Associates'!D:D)</f>
        <v/>
      </c>
      <c r="J19" s="11">
        <f>IF(G19&lt;&gt;"","Allocated","Available")</f>
        <v/>
      </c>
    </row>
    <row r="20">
      <c r="A20" s="6" t="inlineStr">
        <is>
          <t>R</t>
        </is>
      </c>
      <c r="B20" s="6" t="n">
        <v>4</v>
      </c>
      <c r="C20" s="7" t="inlineStr">
        <is>
          <t>E</t>
        </is>
      </c>
      <c r="D20" s="12" t="inlineStr">
        <is>
          <t>07</t>
        </is>
      </c>
      <c r="E20" s="7" t="n">
        <v>3</v>
      </c>
      <c r="F20" s="7">
        <f>A20&amp;B20&amp;"-"&amp;C20&amp;E20&amp;"-"&amp;D20</f>
        <v/>
      </c>
      <c r="G20" s="6" t="n"/>
      <c r="H20" s="47">
        <f>_xlfn.XLOOKUP(G20,'All Associates'!A:A,'All Associates'!B:B)</f>
        <v/>
      </c>
      <c r="I20" s="47">
        <f>_xlfn.XLOOKUP(G20,'All Associates'!A:A,'All Associates'!D:D)</f>
        <v/>
      </c>
      <c r="J20" s="11">
        <f>IF(G20&lt;&gt;"","Allocated","Available")</f>
        <v/>
      </c>
    </row>
    <row r="21">
      <c r="A21" s="6" t="inlineStr">
        <is>
          <t>R</t>
        </is>
      </c>
      <c r="B21" s="6" t="n">
        <v>4</v>
      </c>
      <c r="C21" s="7" t="inlineStr">
        <is>
          <t>E</t>
        </is>
      </c>
      <c r="D21" s="12" t="inlineStr">
        <is>
          <t>08</t>
        </is>
      </c>
      <c r="E21" s="7" t="n">
        <v>3</v>
      </c>
      <c r="F21" s="7">
        <f>A21&amp;B21&amp;"-"&amp;C21&amp;E21&amp;"-"&amp;D21</f>
        <v/>
      </c>
      <c r="G21" s="6" t="n"/>
      <c r="H21" s="47">
        <f>_xlfn.XLOOKUP(G21,'All Associates'!A:A,'All Associates'!B:B)</f>
        <v/>
      </c>
      <c r="I21" s="47">
        <f>_xlfn.XLOOKUP(G21,'All Associates'!A:A,'All Associates'!D:D)</f>
        <v/>
      </c>
      <c r="J21" s="11">
        <f>IF(G21&lt;&gt;"","Allocated","Available")</f>
        <v/>
      </c>
    </row>
    <row r="22">
      <c r="A22" s="6" t="inlineStr">
        <is>
          <t>R</t>
        </is>
      </c>
      <c r="B22" s="6" t="n">
        <v>4</v>
      </c>
      <c r="C22" s="7" t="inlineStr">
        <is>
          <t>E</t>
        </is>
      </c>
      <c r="D22" s="12" t="inlineStr">
        <is>
          <t>01</t>
        </is>
      </c>
      <c r="E22" s="7" t="n">
        <v>4</v>
      </c>
      <c r="F22" s="7">
        <f>A22&amp;B22&amp;"-"&amp;C22&amp;E22&amp;"-"&amp;D22</f>
        <v/>
      </c>
      <c r="G22" s="6" t="n">
        <v>1132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11">
        <f>IF(G22&lt;&gt;"","Allocated","Available")</f>
        <v/>
      </c>
    </row>
    <row r="23">
      <c r="A23" s="6" t="inlineStr">
        <is>
          <t>R</t>
        </is>
      </c>
      <c r="B23" s="6" t="n">
        <v>4</v>
      </c>
      <c r="C23" s="7" t="inlineStr">
        <is>
          <t>E</t>
        </is>
      </c>
      <c r="D23" s="12" t="inlineStr">
        <is>
          <t>02</t>
        </is>
      </c>
      <c r="E23" s="7" t="n">
        <v>4</v>
      </c>
      <c r="F23" s="7">
        <f>A23&amp;B23&amp;"-"&amp;C23&amp;E23&amp;"-"&amp;D23</f>
        <v/>
      </c>
      <c r="G23" s="6" t="n">
        <v>335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11">
        <f>IF(G23&lt;&gt;"","Allocated","Available")</f>
        <v/>
      </c>
    </row>
    <row r="24">
      <c r="A24" s="6" t="inlineStr">
        <is>
          <t>R</t>
        </is>
      </c>
      <c r="B24" s="6" t="n">
        <v>4</v>
      </c>
      <c r="C24" s="7" t="inlineStr">
        <is>
          <t>E</t>
        </is>
      </c>
      <c r="D24" s="12" t="inlineStr">
        <is>
          <t>03</t>
        </is>
      </c>
      <c r="E24" s="7" t="n">
        <v>4</v>
      </c>
      <c r="F24" s="7">
        <f>A24&amp;B24&amp;"-"&amp;C24&amp;E24&amp;"-"&amp;D24</f>
        <v/>
      </c>
      <c r="G24" s="6" t="n">
        <v>1239</v>
      </c>
      <c r="H24" s="47">
        <f>_xlfn.XLOOKUP(G24,'All Associates'!A:A,'All Associates'!B:B)</f>
        <v/>
      </c>
      <c r="I24" s="47">
        <f>_xlfn.XLOOKUP(G24,'All Associates'!A:A,'All Associates'!D:D)</f>
        <v/>
      </c>
      <c r="J24" s="11">
        <f>IF(G24&lt;&gt;"","Allocated","Available")</f>
        <v/>
      </c>
    </row>
    <row r="25">
      <c r="A25" s="6" t="inlineStr">
        <is>
          <t>R</t>
        </is>
      </c>
      <c r="B25" s="6" t="n">
        <v>4</v>
      </c>
      <c r="C25" s="7" t="inlineStr">
        <is>
          <t>E</t>
        </is>
      </c>
      <c r="D25" s="12" t="inlineStr">
        <is>
          <t>04</t>
        </is>
      </c>
      <c r="E25" s="7" t="n">
        <v>4</v>
      </c>
      <c r="F25" s="7">
        <f>A25&amp;B25&amp;"-"&amp;C25&amp;E25&amp;"-"&amp;D25</f>
        <v/>
      </c>
      <c r="G25" s="6" t="n">
        <v>1048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11">
        <f>IF(G25&lt;&gt;"","Allocated","Available")</f>
        <v/>
      </c>
    </row>
    <row r="26">
      <c r="A26" s="6" t="inlineStr">
        <is>
          <t>R</t>
        </is>
      </c>
      <c r="B26" s="6" t="n">
        <v>4</v>
      </c>
      <c r="C26" s="7" t="inlineStr">
        <is>
          <t>E</t>
        </is>
      </c>
      <c r="D26" s="12" t="inlineStr">
        <is>
          <t>05</t>
        </is>
      </c>
      <c r="E26" s="7" t="n">
        <v>4</v>
      </c>
      <c r="F26" s="7">
        <f>A26&amp;B26&amp;"-"&amp;C26&amp;E26&amp;"-"&amp;D26</f>
        <v/>
      </c>
      <c r="G26" s="6" t="n">
        <v>2001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11">
        <f>IF(G26&lt;&gt;"","Allocated","Available")</f>
        <v/>
      </c>
    </row>
    <row r="27">
      <c r="A27" s="6" t="inlineStr">
        <is>
          <t>R</t>
        </is>
      </c>
      <c r="B27" s="6" t="n">
        <v>4</v>
      </c>
      <c r="C27" s="7" t="inlineStr">
        <is>
          <t>E</t>
        </is>
      </c>
      <c r="D27" s="12" t="inlineStr">
        <is>
          <t>06</t>
        </is>
      </c>
      <c r="E27" s="7" t="n">
        <v>4</v>
      </c>
      <c r="F27" s="7">
        <f>A27&amp;B27&amp;"-"&amp;C27&amp;E27&amp;"-"&amp;D27</f>
        <v/>
      </c>
      <c r="G27" s="6" t="n">
        <v>44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11">
        <f>IF(G27&lt;&gt;"","Allocated","Available")</f>
        <v/>
      </c>
    </row>
    <row r="28">
      <c r="A28" s="6" t="inlineStr">
        <is>
          <t>R</t>
        </is>
      </c>
      <c r="B28" s="6" t="n">
        <v>4</v>
      </c>
      <c r="C28" s="7" t="inlineStr">
        <is>
          <t>F</t>
        </is>
      </c>
      <c r="D28" s="12" t="inlineStr">
        <is>
          <t>01</t>
        </is>
      </c>
      <c r="E28" s="7" t="n">
        <v>1</v>
      </c>
      <c r="F28" s="7">
        <f>A28&amp;B28&amp;"-"&amp;C28&amp;E28&amp;"-"&amp;D28</f>
        <v/>
      </c>
      <c r="G28" s="6" t="inlineStr">
        <is>
          <t>HW</t>
        </is>
      </c>
      <c r="H28" s="47" t="n"/>
      <c r="I28" s="47" t="n"/>
      <c r="J28" s="6" t="inlineStr">
        <is>
          <t>HW</t>
        </is>
      </c>
    </row>
    <row r="29">
      <c r="A29" s="6" t="inlineStr">
        <is>
          <t>R</t>
        </is>
      </c>
      <c r="B29" s="6" t="n">
        <v>4</v>
      </c>
      <c r="C29" s="7" t="inlineStr">
        <is>
          <t>F</t>
        </is>
      </c>
      <c r="D29" s="12" t="inlineStr">
        <is>
          <t>02</t>
        </is>
      </c>
      <c r="E29" s="7" t="n">
        <v>1</v>
      </c>
      <c r="F29" s="7">
        <f>A29&amp;B29&amp;"-"&amp;C29&amp;E29&amp;"-"&amp;D29</f>
        <v/>
      </c>
      <c r="G29" s="6" t="n">
        <v>2048</v>
      </c>
      <c r="H29" s="47">
        <f>_xlfn.XLOOKUP(G29,'All Associates'!A:A,'All Associates'!B:B)</f>
        <v/>
      </c>
      <c r="I29" s="47">
        <f>_xlfn.XLOOKUP(G29,'All Associates'!A:A,'All Associates'!D:D)</f>
        <v/>
      </c>
      <c r="J29" s="11">
        <f>IF(G29&lt;&gt;"","Allocated","Available")</f>
        <v/>
      </c>
    </row>
    <row r="30">
      <c r="A30" s="6" t="inlineStr">
        <is>
          <t>R</t>
        </is>
      </c>
      <c r="B30" s="6" t="n">
        <v>4</v>
      </c>
      <c r="C30" s="7" t="inlineStr">
        <is>
          <t>F</t>
        </is>
      </c>
      <c r="D30" s="12" t="inlineStr">
        <is>
          <t>03</t>
        </is>
      </c>
      <c r="E30" s="7" t="n">
        <v>1</v>
      </c>
      <c r="F30" s="7">
        <f>A30&amp;B30&amp;"-"&amp;C30&amp;E30&amp;"-"&amp;D30</f>
        <v/>
      </c>
      <c r="G30" s="6" t="n">
        <v>2049</v>
      </c>
      <c r="H30" s="47">
        <f>_xlfn.XLOOKUP(G30,'All Associates'!A:A,'All Associates'!B:B)</f>
        <v/>
      </c>
      <c r="I30" s="47">
        <f>_xlfn.XLOOKUP(G30,'All Associates'!A:A,'All Associates'!D:D)</f>
        <v/>
      </c>
      <c r="J30" s="11">
        <f>IF(G30&lt;&gt;"","Allocated","Available")</f>
        <v/>
      </c>
    </row>
    <row r="31">
      <c r="A31" s="6" t="inlineStr">
        <is>
          <t>R</t>
        </is>
      </c>
      <c r="B31" s="6" t="n">
        <v>4</v>
      </c>
      <c r="C31" s="7" t="inlineStr">
        <is>
          <t>F</t>
        </is>
      </c>
      <c r="D31" s="12" t="inlineStr">
        <is>
          <t>01</t>
        </is>
      </c>
      <c r="E31" s="7" t="n">
        <v>2</v>
      </c>
      <c r="F31" s="7">
        <f>A31&amp;B31&amp;"-"&amp;C31&amp;E31&amp;"-"&amp;D31</f>
        <v/>
      </c>
      <c r="G31" s="6" t="n">
        <v>1185</v>
      </c>
      <c r="H31" s="47">
        <f>_xlfn.XLOOKUP(G31,'All Associates'!A:A,'All Associates'!B:B)</f>
        <v/>
      </c>
      <c r="I31" s="47">
        <f>_xlfn.XLOOKUP(G31,'All Associates'!A:A,'All Associates'!D:D)</f>
        <v/>
      </c>
      <c r="J31" s="11">
        <f>IF(G31&lt;&gt;"","Allocated","Available")</f>
        <v/>
      </c>
    </row>
    <row r="32">
      <c r="A32" s="6" t="inlineStr">
        <is>
          <t>R</t>
        </is>
      </c>
      <c r="B32" s="6" t="n">
        <v>4</v>
      </c>
      <c r="C32" s="7" t="inlineStr">
        <is>
          <t>F</t>
        </is>
      </c>
      <c r="D32" s="12" t="inlineStr">
        <is>
          <t>02</t>
        </is>
      </c>
      <c r="E32" s="7" t="n">
        <v>2</v>
      </c>
      <c r="F32" s="7">
        <f>A32&amp;B32&amp;"-"&amp;C32&amp;E32&amp;"-"&amp;D32</f>
        <v/>
      </c>
      <c r="G32" s="67" t="n">
        <v>1190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11">
        <f>IF(G32&lt;&gt;"","Allocated","Available")</f>
        <v/>
      </c>
    </row>
    <row r="33">
      <c r="A33" s="6" t="inlineStr">
        <is>
          <t>R</t>
        </is>
      </c>
      <c r="B33" s="6" t="n">
        <v>4</v>
      </c>
      <c r="C33" s="7" t="inlineStr">
        <is>
          <t>F</t>
        </is>
      </c>
      <c r="D33" s="12" t="inlineStr">
        <is>
          <t>03</t>
        </is>
      </c>
      <c r="E33" s="7" t="n">
        <v>2</v>
      </c>
      <c r="F33" s="7">
        <f>A33&amp;B33&amp;"-"&amp;C33&amp;E33&amp;"-"&amp;D33</f>
        <v/>
      </c>
      <c r="G33" s="6" t="n">
        <v>1123</v>
      </c>
      <c r="H33" s="47">
        <f>_xlfn.XLOOKUP(G33,'All Associates'!A:A,'All Associates'!B:B)</f>
        <v/>
      </c>
      <c r="I33" s="47">
        <f>_xlfn.XLOOKUP(G33,'All Associates'!A:A,'All Associates'!D:D)</f>
        <v/>
      </c>
      <c r="J33" s="11">
        <f>IF(G33&lt;&gt;"","Allocated","Available")</f>
        <v/>
      </c>
    </row>
    <row r="34">
      <c r="A34" s="6" t="inlineStr">
        <is>
          <t>R</t>
        </is>
      </c>
      <c r="B34" s="6" t="n">
        <v>4</v>
      </c>
      <c r="C34" s="7" t="inlineStr">
        <is>
          <t>F</t>
        </is>
      </c>
      <c r="D34" s="12" t="inlineStr">
        <is>
          <t>04</t>
        </is>
      </c>
      <c r="E34" s="7" t="n">
        <v>2</v>
      </c>
      <c r="F34" s="7">
        <f>A34&amp;B34&amp;"-"&amp;C34&amp;E34&amp;"-"&amp;D34</f>
        <v/>
      </c>
      <c r="G34" s="67" t="n">
        <v>1202</v>
      </c>
      <c r="H34" s="47">
        <f>_xlfn.XLOOKUP(G34,'All Associates'!A:A,'All Associates'!B:B)</f>
        <v/>
      </c>
      <c r="I34" s="47">
        <f>_xlfn.XLOOKUP(G34,'All Associates'!A:A,'All Associates'!D:D)</f>
        <v/>
      </c>
      <c r="J34" s="11">
        <f>IF(G34&lt;&gt;"","Allocated","Available")</f>
        <v/>
      </c>
    </row>
    <row r="35">
      <c r="A35" s="6" t="inlineStr">
        <is>
          <t>R</t>
        </is>
      </c>
      <c r="B35" s="6" t="n">
        <v>4</v>
      </c>
      <c r="C35" s="7" t="inlineStr">
        <is>
          <t>F</t>
        </is>
      </c>
      <c r="D35" s="12" t="inlineStr">
        <is>
          <t>05</t>
        </is>
      </c>
      <c r="E35" s="7" t="n">
        <v>2</v>
      </c>
      <c r="F35" s="7">
        <f>A35&amp;B35&amp;"-"&amp;C35&amp;E35&amp;"-"&amp;D35</f>
        <v/>
      </c>
      <c r="G35" s="6" t="n">
        <v>1121</v>
      </c>
      <c r="H35" s="47">
        <f>_xlfn.XLOOKUP(G35,'All Associates'!A:A,'All Associates'!B:B)</f>
        <v/>
      </c>
      <c r="I35" s="47">
        <f>_xlfn.XLOOKUP(G35,'All Associates'!A:A,'All Associates'!D:D)</f>
        <v/>
      </c>
      <c r="J35" s="11">
        <f>IF(G35&lt;&gt;"","Allocated","Available")</f>
        <v/>
      </c>
    </row>
    <row r="36">
      <c r="A36" s="6" t="inlineStr">
        <is>
          <t>R</t>
        </is>
      </c>
      <c r="B36" s="6" t="n">
        <v>4</v>
      </c>
      <c r="C36" s="7" t="inlineStr">
        <is>
          <t>F</t>
        </is>
      </c>
      <c r="D36" s="12" t="inlineStr">
        <is>
          <t>06</t>
        </is>
      </c>
      <c r="E36" s="7" t="n">
        <v>2</v>
      </c>
      <c r="F36" s="7">
        <f>A36&amp;B36&amp;"-"&amp;C36&amp;E36&amp;"-"&amp;D36</f>
        <v/>
      </c>
      <c r="G36" s="6" t="n">
        <v>421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11">
        <f>IF(G36&lt;&gt;"","Allocated","Available")</f>
        <v/>
      </c>
    </row>
    <row r="37">
      <c r="A37" s="6" t="inlineStr">
        <is>
          <t>R</t>
        </is>
      </c>
      <c r="B37" s="6" t="n">
        <v>4</v>
      </c>
      <c r="C37" s="7" t="inlineStr">
        <is>
          <t>F</t>
        </is>
      </c>
      <c r="D37" s="12" t="inlineStr">
        <is>
          <t>07</t>
        </is>
      </c>
      <c r="E37" s="7" t="n">
        <v>2</v>
      </c>
      <c r="F37" s="7">
        <f>A37&amp;B37&amp;"-"&amp;C37&amp;E37&amp;"-"&amp;D37</f>
        <v/>
      </c>
      <c r="G37" s="6" t="n"/>
      <c r="H37" s="47">
        <f>_xlfn.XLOOKUP(G37,'All Associates'!A:A,'All Associates'!B:B)</f>
        <v/>
      </c>
      <c r="I37" s="47">
        <f>_xlfn.XLOOKUP(G37,'All Associates'!A:A,'All Associates'!D:D)</f>
        <v/>
      </c>
      <c r="J37" s="11">
        <f>IF(G37&lt;&gt;"","Allocated","Available")</f>
        <v/>
      </c>
    </row>
    <row r="38">
      <c r="A38" s="6" t="inlineStr">
        <is>
          <t>R</t>
        </is>
      </c>
      <c r="B38" s="6" t="n">
        <v>4</v>
      </c>
      <c r="C38" s="7" t="inlineStr">
        <is>
          <t>F</t>
        </is>
      </c>
      <c r="D38" s="12" t="inlineStr">
        <is>
          <t>07</t>
        </is>
      </c>
      <c r="E38" s="7" t="n">
        <v>2</v>
      </c>
      <c r="F38" s="7" t="inlineStr">
        <is>
          <t>R4-F2-08</t>
        </is>
      </c>
      <c r="G38" s="6" t="n">
        <v>448</v>
      </c>
      <c r="H38" s="47">
        <f>_xlfn.XLOOKUP(G38,'All Associates'!A:A,'All Associates'!B:B)</f>
        <v/>
      </c>
      <c r="I38" s="47">
        <f>_xlfn.XLOOKUP(G38,'All Associates'!A:A,'All Associates'!D:D)</f>
        <v/>
      </c>
      <c r="J38" s="11">
        <f>IF(G38&lt;&gt;"","Allocated","Available")</f>
        <v/>
      </c>
    </row>
    <row r="39">
      <c r="A39" s="6" t="inlineStr">
        <is>
          <t>R</t>
        </is>
      </c>
      <c r="B39" s="6" t="n">
        <v>4</v>
      </c>
      <c r="C39" s="7" t="inlineStr">
        <is>
          <t>F</t>
        </is>
      </c>
      <c r="D39" s="12" t="inlineStr">
        <is>
          <t>01</t>
        </is>
      </c>
      <c r="E39" s="7" t="n">
        <v>3</v>
      </c>
      <c r="F39" s="7">
        <f>A39&amp;B39&amp;"-"&amp;C39&amp;E39&amp;"-"&amp;D39</f>
        <v/>
      </c>
      <c r="G39" s="64" t="n">
        <v>148</v>
      </c>
      <c r="H39" s="47">
        <f>_xlfn.XLOOKUP(G39,'All Associates'!A:A,'All Associates'!B:B)</f>
        <v/>
      </c>
      <c r="I39" s="47">
        <f>_xlfn.XLOOKUP(G39,'All Associates'!A:A,'All Associates'!D:D)</f>
        <v/>
      </c>
      <c r="J39" s="11">
        <f>IF(G39&lt;&gt;"","Allocated","Available")</f>
        <v/>
      </c>
    </row>
    <row r="40">
      <c r="A40" s="6" t="inlineStr">
        <is>
          <t>R</t>
        </is>
      </c>
      <c r="B40" s="6" t="n">
        <v>4</v>
      </c>
      <c r="C40" s="7" t="inlineStr">
        <is>
          <t>F</t>
        </is>
      </c>
      <c r="D40" s="12" t="inlineStr">
        <is>
          <t>02</t>
        </is>
      </c>
      <c r="E40" s="7" t="n">
        <v>3</v>
      </c>
      <c r="F40" s="63">
        <f>A40&amp;B40&amp;"-"&amp;C40&amp;E40&amp;"-"&amp;D40</f>
        <v/>
      </c>
      <c r="G40" s="61" t="n">
        <v>1191</v>
      </c>
      <c r="H40" s="47">
        <f>_xlfn.XLOOKUP(G40,'All Associates'!A:A,'All Associates'!B:B)</f>
        <v/>
      </c>
      <c r="I40" s="47">
        <f>_xlfn.XLOOKUP(G40,'All Associates'!A:A,'All Associates'!D:D)</f>
        <v/>
      </c>
      <c r="J40" s="11">
        <f>IF(G40&lt;&gt;"","Allocated","Available")</f>
        <v/>
      </c>
    </row>
    <row r="41">
      <c r="A41" s="6" t="inlineStr">
        <is>
          <t>R</t>
        </is>
      </c>
      <c r="B41" s="6" t="n">
        <v>4</v>
      </c>
      <c r="C41" s="7" t="inlineStr">
        <is>
          <t>F</t>
        </is>
      </c>
      <c r="D41" s="12" t="inlineStr">
        <is>
          <t>03</t>
        </is>
      </c>
      <c r="E41" s="7" t="n">
        <v>3</v>
      </c>
      <c r="F41" s="7">
        <f>A41&amp;B41&amp;"-"&amp;C41&amp;E41&amp;"-"&amp;D41</f>
        <v/>
      </c>
      <c r="G41" s="66" t="n">
        <v>61</v>
      </c>
      <c r="H41" s="47">
        <f>_xlfn.XLOOKUP(G41,'All Associates'!A:A,'All Associates'!B:B)</f>
        <v/>
      </c>
      <c r="I41" s="47">
        <f>_xlfn.XLOOKUP(G41,'All Associates'!A:A,'All Associates'!D:D)</f>
        <v/>
      </c>
      <c r="J41" s="11">
        <f>IF(G41&lt;&gt;"","Allocated","Available")</f>
        <v/>
      </c>
    </row>
    <row r="42">
      <c r="A42" s="6" t="inlineStr">
        <is>
          <t>R</t>
        </is>
      </c>
      <c r="B42" s="6" t="n">
        <v>4</v>
      </c>
      <c r="C42" s="7" t="inlineStr">
        <is>
          <t>F</t>
        </is>
      </c>
      <c r="D42" s="12" t="inlineStr">
        <is>
          <t>04</t>
        </is>
      </c>
      <c r="E42" s="7" t="n">
        <v>3</v>
      </c>
      <c r="F42" s="63">
        <f>A42&amp;B42&amp;"-"&amp;C42&amp;E42&amp;"-"&amp;D42</f>
        <v/>
      </c>
      <c r="G42" s="61" t="n">
        <v>1209</v>
      </c>
      <c r="H42" s="47">
        <f>_xlfn.XLOOKUP(G42,'All Associates'!A:A,'All Associates'!B:B)</f>
        <v/>
      </c>
      <c r="I42" s="47">
        <f>_xlfn.XLOOKUP(G42,'All Associates'!A:A,'All Associates'!D:D)</f>
        <v/>
      </c>
      <c r="J42" s="11">
        <f>IF(G42&lt;&gt;"","Allocated","Available")</f>
        <v/>
      </c>
    </row>
    <row r="43">
      <c r="A43" s="6" t="inlineStr">
        <is>
          <t>R</t>
        </is>
      </c>
      <c r="B43" s="6" t="n">
        <v>4</v>
      </c>
      <c r="C43" s="7" t="inlineStr">
        <is>
          <t>F</t>
        </is>
      </c>
      <c r="D43" s="12" t="inlineStr">
        <is>
          <t>05</t>
        </is>
      </c>
      <c r="E43" s="7" t="n">
        <v>3</v>
      </c>
      <c r="F43" s="7">
        <f>A43&amp;B43&amp;"-"&amp;C43&amp;E43&amp;"-"&amp;D43</f>
        <v/>
      </c>
      <c r="G43" s="65" t="n">
        <v>1233</v>
      </c>
      <c r="H43" s="47">
        <f>_xlfn.XLOOKUP(G43,'All Associates'!A:A,'All Associates'!B:B)</f>
        <v/>
      </c>
      <c r="I43" s="47">
        <f>_xlfn.XLOOKUP(G43,'All Associates'!A:A,'All Associates'!D:D)</f>
        <v/>
      </c>
      <c r="J43" s="11">
        <f>IF(G43&lt;&gt;"","Allocated","Available")</f>
        <v/>
      </c>
    </row>
    <row r="44">
      <c r="A44" s="6" t="inlineStr">
        <is>
          <t>R</t>
        </is>
      </c>
      <c r="B44" s="6" t="n">
        <v>4</v>
      </c>
      <c r="C44" s="7" t="inlineStr">
        <is>
          <t>F</t>
        </is>
      </c>
      <c r="D44" s="12" t="inlineStr">
        <is>
          <t>06</t>
        </is>
      </c>
      <c r="E44" s="7" t="n">
        <v>3</v>
      </c>
      <c r="F44" s="7">
        <f>A44&amp;B44&amp;"-"&amp;C44&amp;E44&amp;"-"&amp;D44</f>
        <v/>
      </c>
      <c r="G44" s="6" t="n">
        <v>712</v>
      </c>
      <c r="H44" s="47">
        <f>_xlfn.XLOOKUP(G44,'All Associates'!A:A,'All Associates'!B:B)</f>
        <v/>
      </c>
      <c r="I44" s="47">
        <f>_xlfn.XLOOKUP(G44,'All Associates'!A:A,'All Associates'!D:D)</f>
        <v/>
      </c>
      <c r="J44" s="11">
        <f>IF(G44&lt;&gt;"","Allocated","Available")</f>
        <v/>
      </c>
    </row>
    <row r="45">
      <c r="A45" s="6" t="inlineStr">
        <is>
          <t>R</t>
        </is>
      </c>
      <c r="B45" s="6" t="n">
        <v>4</v>
      </c>
      <c r="C45" s="7" t="inlineStr">
        <is>
          <t>F</t>
        </is>
      </c>
      <c r="D45" s="12" t="inlineStr">
        <is>
          <t>07</t>
        </is>
      </c>
      <c r="E45" s="7" t="n">
        <v>3</v>
      </c>
      <c r="F45" s="7">
        <f>A45&amp;B45&amp;"-"&amp;C45&amp;E45&amp;"-"&amp;D45</f>
        <v/>
      </c>
      <c r="G45" s="6" t="n">
        <v>1175</v>
      </c>
      <c r="H45" s="47">
        <f>_xlfn.XLOOKUP(G45,'All Associates'!A:A,'All Associates'!B:B)</f>
        <v/>
      </c>
      <c r="I45" s="47">
        <f>_xlfn.XLOOKUP(G45,'All Associates'!A:A,'All Associates'!D:D)</f>
        <v/>
      </c>
      <c r="J45" s="11">
        <f>IF(G45&lt;&gt;"","Allocated","Available")</f>
        <v/>
      </c>
    </row>
    <row r="46">
      <c r="A46" s="6" t="inlineStr">
        <is>
          <t>R</t>
        </is>
      </c>
      <c r="B46" s="6" t="n">
        <v>4</v>
      </c>
      <c r="C46" s="7" t="inlineStr">
        <is>
          <t>F</t>
        </is>
      </c>
      <c r="D46" s="12" t="inlineStr">
        <is>
          <t>08</t>
        </is>
      </c>
      <c r="E46" s="7" t="n">
        <v>3</v>
      </c>
      <c r="F46" s="7">
        <f>A46&amp;B46&amp;"-"&amp;C46&amp;E46&amp;"-"&amp;D46</f>
        <v/>
      </c>
      <c r="G46" s="6" t="n">
        <v>2028</v>
      </c>
      <c r="H46" s="47">
        <f>_xlfn.XLOOKUP(G46,'All Associates'!A:A,'All Associates'!B:B)</f>
        <v/>
      </c>
      <c r="I46" s="47">
        <f>_xlfn.XLOOKUP(G46,'All Associates'!A:A,'All Associates'!D:D)</f>
        <v/>
      </c>
      <c r="J46" s="11">
        <f>IF(G46&lt;&gt;"","Allocated","Available")</f>
        <v/>
      </c>
    </row>
    <row r="47">
      <c r="A47" s="6" t="inlineStr">
        <is>
          <t>R</t>
        </is>
      </c>
      <c r="B47" s="6" t="n">
        <v>4</v>
      </c>
      <c r="C47" s="7" t="inlineStr">
        <is>
          <t>F</t>
        </is>
      </c>
      <c r="D47" s="12" t="inlineStr">
        <is>
          <t>01</t>
        </is>
      </c>
      <c r="E47" s="7" t="n">
        <v>4</v>
      </c>
      <c r="F47" s="7">
        <f>A47&amp;B47&amp;"-"&amp;C47&amp;E47&amp;"-"&amp;D47</f>
        <v/>
      </c>
      <c r="G47" s="6" t="n"/>
      <c r="H47" s="47">
        <f>_xlfn.XLOOKUP(G47,'All Associates'!A:A,'All Associates'!B:B)</f>
        <v/>
      </c>
      <c r="I47" s="47">
        <f>_xlfn.XLOOKUP(G47,'All Associates'!A:A,'All Associates'!D:D)</f>
        <v/>
      </c>
      <c r="J47" s="11">
        <f>IF(G47&lt;&gt;"","Allocated","Available")</f>
        <v/>
      </c>
    </row>
    <row r="48">
      <c r="A48" s="6" t="inlineStr">
        <is>
          <t>R</t>
        </is>
      </c>
      <c r="B48" s="6" t="n">
        <v>4</v>
      </c>
      <c r="C48" s="7" t="inlineStr">
        <is>
          <t>F</t>
        </is>
      </c>
      <c r="D48" s="12" t="inlineStr">
        <is>
          <t>02</t>
        </is>
      </c>
      <c r="E48" s="7" t="n">
        <v>4</v>
      </c>
      <c r="F48" s="7">
        <f>A48&amp;B48&amp;"-"&amp;C48&amp;E48&amp;"-"&amp;D48</f>
        <v/>
      </c>
      <c r="G48" s="6" t="n"/>
      <c r="H48" s="47">
        <f>_xlfn.XLOOKUP(G48,'All Associates'!A:A,'All Associates'!B:B)</f>
        <v/>
      </c>
      <c r="I48" s="47">
        <f>_xlfn.XLOOKUP(G48,'All Associates'!A:A,'All Associates'!D:D)</f>
        <v/>
      </c>
      <c r="J48" s="11">
        <f>IF(G48&lt;&gt;"","Allocated","Available")</f>
        <v/>
      </c>
    </row>
    <row r="49">
      <c r="A49" s="6" t="inlineStr">
        <is>
          <t>R</t>
        </is>
      </c>
      <c r="B49" s="6" t="n">
        <v>4</v>
      </c>
      <c r="C49" s="7" t="inlineStr">
        <is>
          <t>F</t>
        </is>
      </c>
      <c r="D49" s="12" t="inlineStr">
        <is>
          <t>03</t>
        </is>
      </c>
      <c r="E49" s="7" t="n">
        <v>4</v>
      </c>
      <c r="F49" s="7">
        <f>A49&amp;B49&amp;"-"&amp;C49&amp;E49&amp;"-"&amp;D49</f>
        <v/>
      </c>
      <c r="G49" s="6" t="n"/>
      <c r="H49" s="47">
        <f>_xlfn.XLOOKUP(G49,'All Associates'!A:A,'All Associates'!B:B)</f>
        <v/>
      </c>
      <c r="I49" s="47">
        <f>_xlfn.XLOOKUP(G49,'All Associates'!A:A,'All Associates'!D:D)</f>
        <v/>
      </c>
      <c r="J49" s="11">
        <f>IF(G49&lt;&gt;"","Allocated","Available")</f>
        <v/>
      </c>
    </row>
    <row r="50">
      <c r="A50" s="6" t="inlineStr">
        <is>
          <t>R</t>
        </is>
      </c>
      <c r="B50" s="6" t="n">
        <v>4</v>
      </c>
      <c r="C50" s="7" t="inlineStr">
        <is>
          <t>F</t>
        </is>
      </c>
      <c r="D50" s="12" t="inlineStr">
        <is>
          <t>04</t>
        </is>
      </c>
      <c r="E50" s="7" t="n">
        <v>4</v>
      </c>
      <c r="F50" s="7">
        <f>A50&amp;B50&amp;"-"&amp;C50&amp;E50&amp;"-"&amp;D50</f>
        <v/>
      </c>
      <c r="G50" s="6" t="n">
        <v>1230</v>
      </c>
      <c r="H50" s="47">
        <f>_xlfn.XLOOKUP(G50,'All Associates'!A:A,'All Associates'!B:B)</f>
        <v/>
      </c>
      <c r="I50" s="47">
        <f>_xlfn.XLOOKUP(G50,'All Associates'!A:A,'All Associates'!D:D)</f>
        <v/>
      </c>
      <c r="J50" s="11">
        <f>IF(G50&lt;&gt;"","Allocated","Available")</f>
        <v/>
      </c>
    </row>
    <row r="51">
      <c r="A51" s="6" t="inlineStr">
        <is>
          <t>R</t>
        </is>
      </c>
      <c r="B51" s="6" t="n">
        <v>4</v>
      </c>
      <c r="C51" s="7" t="inlineStr">
        <is>
          <t>F</t>
        </is>
      </c>
      <c r="D51" s="12" t="inlineStr">
        <is>
          <t>01</t>
        </is>
      </c>
      <c r="E51" s="7" t="n">
        <v>5</v>
      </c>
      <c r="F51" s="7">
        <f>A51&amp;B51&amp;"-"&amp;C51&amp;E51&amp;"-"&amp;D51</f>
        <v/>
      </c>
      <c r="G51" s="6" t="n">
        <v>1110</v>
      </c>
      <c r="H51" s="47">
        <f>_xlfn.XLOOKUP(G51,'All Associates'!A:A,'All Associates'!B:B)</f>
        <v/>
      </c>
      <c r="I51" s="47">
        <f>_xlfn.XLOOKUP(G51,'All Associates'!A:A,'All Associates'!D:D)</f>
        <v/>
      </c>
      <c r="J51" s="11">
        <f>IF(G51&lt;&gt;"","Allocated","Available")</f>
        <v/>
      </c>
    </row>
    <row r="52">
      <c r="A52" s="6" t="inlineStr">
        <is>
          <t>R</t>
        </is>
      </c>
      <c r="B52" s="6" t="n">
        <v>4</v>
      </c>
      <c r="C52" s="7" t="inlineStr">
        <is>
          <t>F</t>
        </is>
      </c>
      <c r="D52" s="12" t="inlineStr">
        <is>
          <t>02</t>
        </is>
      </c>
      <c r="E52" s="7" t="n">
        <v>5</v>
      </c>
      <c r="F52" s="6">
        <f>A52&amp;B52&amp;"-"&amp;C52&amp;E52&amp;"-"&amp;D52</f>
        <v/>
      </c>
      <c r="G52" s="6" t="n">
        <v>1187</v>
      </c>
      <c r="H52" s="47">
        <f>_xlfn.XLOOKUP(G52,'All Associates'!A:A,'All Associates'!B:B)</f>
        <v/>
      </c>
      <c r="I52" s="47">
        <f>_xlfn.XLOOKUP(G52,'All Associates'!A:A,'All Associates'!D:D)</f>
        <v/>
      </c>
      <c r="J52" s="11">
        <f>IF(G52&lt;&gt;"","Allocated","Available")</f>
        <v/>
      </c>
    </row>
    <row r="53">
      <c r="A53" s="6" t="inlineStr">
        <is>
          <t>R</t>
        </is>
      </c>
      <c r="B53" s="6" t="n">
        <v>4</v>
      </c>
      <c r="C53" s="7" t="inlineStr">
        <is>
          <t>F</t>
        </is>
      </c>
      <c r="D53" s="12" t="inlineStr">
        <is>
          <t>03</t>
        </is>
      </c>
      <c r="E53" s="7" t="n">
        <v>5</v>
      </c>
      <c r="F53" s="7">
        <f>A53&amp;B53&amp;"-"&amp;C53&amp;E53&amp;"-"&amp;D53</f>
        <v/>
      </c>
      <c r="G53" s="6" t="n">
        <v>2018</v>
      </c>
      <c r="H53" s="47">
        <f>_xlfn.XLOOKUP(G53,'All Associates'!A:A,'All Associates'!B:B)</f>
        <v/>
      </c>
      <c r="I53" s="47">
        <f>_xlfn.XLOOKUP(G53,'All Associates'!A:A,'All Associates'!D:D)</f>
        <v/>
      </c>
      <c r="J53" s="11">
        <f>IF(G53&lt;&gt;"","Allocated","Available")</f>
        <v/>
      </c>
    </row>
    <row r="54">
      <c r="A54" s="6" t="inlineStr">
        <is>
          <t>R</t>
        </is>
      </c>
      <c r="B54" s="6" t="n">
        <v>4</v>
      </c>
      <c r="C54" s="7" t="inlineStr">
        <is>
          <t>F</t>
        </is>
      </c>
      <c r="D54" s="12" t="inlineStr">
        <is>
          <t>04</t>
        </is>
      </c>
      <c r="E54" s="7" t="n">
        <v>5</v>
      </c>
      <c r="F54" s="7">
        <f>A54&amp;B54&amp;"-"&amp;C54&amp;E54&amp;"-"&amp;D54</f>
        <v/>
      </c>
      <c r="G54" s="6" t="n"/>
      <c r="H54" s="47">
        <f>_xlfn.XLOOKUP(G54,'All Associates'!A:A,'All Associates'!B:B)</f>
        <v/>
      </c>
      <c r="I54" s="47">
        <f>_xlfn.XLOOKUP(G54,'All Associates'!A:A,'All Associates'!D:D)</f>
        <v/>
      </c>
      <c r="J54" s="11">
        <f>IF(G54&lt;&gt;"","Allocated","Available")</f>
        <v/>
      </c>
    </row>
    <row r="55">
      <c r="A55" s="6" t="inlineStr">
        <is>
          <t>R</t>
        </is>
      </c>
      <c r="B55" s="6" t="n">
        <v>4</v>
      </c>
      <c r="C55" s="7" t="inlineStr">
        <is>
          <t>F</t>
        </is>
      </c>
      <c r="D55" s="12" t="inlineStr">
        <is>
          <t>05</t>
        </is>
      </c>
      <c r="E55" s="7" t="n">
        <v>5</v>
      </c>
      <c r="F55" s="7">
        <f>A55&amp;B55&amp;"-"&amp;C55&amp;E55&amp;"-"&amp;D55</f>
        <v/>
      </c>
      <c r="G55" s="6" t="n">
        <v>1017</v>
      </c>
      <c r="H55" s="47">
        <f>_xlfn.XLOOKUP(G55,'All Associates'!A:A,'All Associates'!B:B)</f>
        <v/>
      </c>
      <c r="I55" s="47">
        <f>_xlfn.XLOOKUP(G55,'All Associates'!A:A,'All Associates'!D:D)</f>
        <v/>
      </c>
      <c r="J55" s="11">
        <f>IF(G55&lt;&gt;"","Allocated","Available")</f>
        <v/>
      </c>
    </row>
    <row r="56">
      <c r="A56" s="6" t="inlineStr">
        <is>
          <t>R</t>
        </is>
      </c>
      <c r="B56" s="6" t="n">
        <v>4</v>
      </c>
      <c r="C56" s="7" t="inlineStr">
        <is>
          <t>F</t>
        </is>
      </c>
      <c r="D56" s="12" t="inlineStr">
        <is>
          <t>06</t>
        </is>
      </c>
      <c r="E56" s="7" t="n">
        <v>5</v>
      </c>
      <c r="F56" s="7">
        <f>A56&amp;B56&amp;"-"&amp;C56&amp;E56&amp;"-"&amp;D56</f>
        <v/>
      </c>
      <c r="G56" s="6" t="n">
        <v>1242</v>
      </c>
      <c r="H56" s="47">
        <f>_xlfn.XLOOKUP(G56,'All Associates'!A:A,'All Associates'!B:B)</f>
        <v/>
      </c>
      <c r="I56" s="47">
        <f>_xlfn.XLOOKUP(G56,'All Associates'!A:A,'All Associates'!D:D)</f>
        <v/>
      </c>
      <c r="J56" s="11">
        <f>IF(G56&lt;&gt;"","Allocated","Available")</f>
        <v/>
      </c>
    </row>
    <row r="57">
      <c r="A57" s="6" t="inlineStr">
        <is>
          <t>R</t>
        </is>
      </c>
      <c r="B57" s="6" t="n">
        <v>4</v>
      </c>
      <c r="C57" s="7" t="inlineStr">
        <is>
          <t>F</t>
        </is>
      </c>
      <c r="D57" s="12" t="inlineStr">
        <is>
          <t>07</t>
        </is>
      </c>
      <c r="E57" s="7" t="n">
        <v>5</v>
      </c>
      <c r="F57" s="7">
        <f>A57&amp;B57&amp;"-"&amp;C57&amp;E57&amp;"-"&amp;D57</f>
        <v/>
      </c>
      <c r="G57" s="6" t="n"/>
      <c r="H57" s="47">
        <f>_xlfn.XLOOKUP(G57,'All Associates'!A:A,'All Associates'!B:B)</f>
        <v/>
      </c>
      <c r="I57" s="47">
        <f>_xlfn.XLOOKUP(G57,'All Associates'!A:A,'All Associates'!D:D)</f>
        <v/>
      </c>
      <c r="J57" s="11">
        <f>IF(G57&lt;&gt;"","Allocated","Available")</f>
        <v/>
      </c>
    </row>
    <row r="58">
      <c r="A58" s="6" t="inlineStr">
        <is>
          <t>R</t>
        </is>
      </c>
      <c r="B58" s="6" t="n">
        <v>4</v>
      </c>
      <c r="C58" s="7" t="inlineStr">
        <is>
          <t>F</t>
        </is>
      </c>
      <c r="D58" s="12" t="inlineStr">
        <is>
          <t>08</t>
        </is>
      </c>
      <c r="E58" s="7" t="n">
        <v>5</v>
      </c>
      <c r="F58" s="7">
        <f>A58&amp;B58&amp;"-"&amp;C58&amp;E58&amp;"-"&amp;D58</f>
        <v/>
      </c>
      <c r="G58" s="6" t="n"/>
      <c r="H58" s="47">
        <f>_xlfn.XLOOKUP(G58,'All Associates'!A:A,'All Associates'!B:B)</f>
        <v/>
      </c>
      <c r="I58" s="47">
        <f>_xlfn.XLOOKUP(G58,'All Associates'!A:A,'All Associates'!D:D)</f>
        <v/>
      </c>
      <c r="J58" s="11">
        <f>IF(G58&lt;&gt;"","Allocated","Available")</f>
        <v/>
      </c>
    </row>
    <row r="59">
      <c r="A59" s="6" t="inlineStr">
        <is>
          <t>R</t>
        </is>
      </c>
      <c r="B59" s="6" t="n">
        <v>4</v>
      </c>
      <c r="C59" s="7" t="inlineStr">
        <is>
          <t>F</t>
        </is>
      </c>
      <c r="D59" s="12" t="inlineStr">
        <is>
          <t>01</t>
        </is>
      </c>
      <c r="E59" s="7" t="n">
        <v>6</v>
      </c>
      <c r="F59" s="7">
        <f>A59&amp;B59&amp;"-"&amp;C59&amp;E59&amp;"-"&amp;D59</f>
        <v/>
      </c>
      <c r="G59" s="6" t="n">
        <v>1056</v>
      </c>
      <c r="H59" s="47">
        <f>_xlfn.XLOOKUP(G59,'All Associates'!A:A,'All Associates'!B:B)</f>
        <v/>
      </c>
      <c r="I59" s="47">
        <f>_xlfn.XLOOKUP(G59,'All Associates'!A:A,'All Associates'!D:D)</f>
        <v/>
      </c>
      <c r="J59" s="11">
        <f>IF(G59&lt;&gt;"","Allocated","Available")</f>
        <v/>
      </c>
    </row>
    <row r="60">
      <c r="A60" s="6" t="inlineStr">
        <is>
          <t>R</t>
        </is>
      </c>
      <c r="B60" s="6" t="n">
        <v>4</v>
      </c>
      <c r="C60" s="7" t="inlineStr">
        <is>
          <t>F</t>
        </is>
      </c>
      <c r="D60" s="12" t="inlineStr">
        <is>
          <t>02</t>
        </is>
      </c>
      <c r="E60" s="7" t="n">
        <v>6</v>
      </c>
      <c r="F60" s="7">
        <f>A60&amp;B60&amp;"-"&amp;C60&amp;E60&amp;"-"&amp;D60</f>
        <v/>
      </c>
      <c r="G60" s="6" t="n">
        <v>1199</v>
      </c>
      <c r="H60" s="47" t="inlineStr">
        <is>
          <t>SALAJAN DORIN-AUGUSTIN</t>
        </is>
      </c>
      <c r="I60" s="47" t="inlineStr">
        <is>
          <t>Diaconu Andrei</t>
        </is>
      </c>
      <c r="J60" s="11">
        <f>IF(G60&lt;&gt;"","Allocated","Available")</f>
        <v/>
      </c>
    </row>
    <row r="61">
      <c r="A61" s="6" t="inlineStr">
        <is>
          <t>R</t>
        </is>
      </c>
      <c r="B61" s="6" t="n">
        <v>4</v>
      </c>
      <c r="C61" s="7" t="inlineStr">
        <is>
          <t>F</t>
        </is>
      </c>
      <c r="D61" s="12" t="inlineStr">
        <is>
          <t>03</t>
        </is>
      </c>
      <c r="E61" s="7" t="n">
        <v>6</v>
      </c>
      <c r="F61" s="7">
        <f>A61&amp;B61&amp;"-"&amp;C61&amp;E61&amp;"-"&amp;D61</f>
        <v/>
      </c>
      <c r="G61" s="6" t="n">
        <v>1204</v>
      </c>
      <c r="H61" s="47">
        <f>_xlfn.XLOOKUP(G61,'All Associates'!A:A,'All Associates'!B:B)</f>
        <v/>
      </c>
      <c r="I61" s="47">
        <f>_xlfn.XLOOKUP(G61,'All Associates'!A:A,'All Associates'!D:D)</f>
        <v/>
      </c>
      <c r="J61" s="11">
        <f>IF(G61&lt;&gt;"","Allocated","Available")</f>
        <v/>
      </c>
    </row>
    <row r="62">
      <c r="A62" s="6" t="inlineStr">
        <is>
          <t>R</t>
        </is>
      </c>
      <c r="B62" s="6" t="n">
        <v>4</v>
      </c>
      <c r="C62" s="7" t="inlineStr">
        <is>
          <t>F</t>
        </is>
      </c>
      <c r="D62" s="12" t="inlineStr">
        <is>
          <t>04</t>
        </is>
      </c>
      <c r="E62" s="7" t="n">
        <v>6</v>
      </c>
      <c r="F62" s="7">
        <f>A62&amp;B62&amp;"-"&amp;C62&amp;E62&amp;"-"&amp;D62</f>
        <v/>
      </c>
      <c r="G62" s="6" t="n">
        <v>2008</v>
      </c>
      <c r="H62" s="47">
        <f>_xlfn.XLOOKUP(G62,'All Associates'!A:A,'All Associates'!B:B)</f>
        <v/>
      </c>
      <c r="I62" s="47">
        <f>_xlfn.XLOOKUP(G62,'All Associates'!A:A,'All Associates'!D:D)</f>
        <v/>
      </c>
      <c r="J62" s="11">
        <f>IF(G62&lt;&gt;"","Allocated","Available")</f>
        <v/>
      </c>
    </row>
    <row r="63">
      <c r="A63" s="6" t="inlineStr">
        <is>
          <t>R</t>
        </is>
      </c>
      <c r="B63" s="6" t="n">
        <v>4</v>
      </c>
      <c r="C63" s="7" t="inlineStr">
        <is>
          <t>F</t>
        </is>
      </c>
      <c r="D63" s="12" t="inlineStr">
        <is>
          <t>05</t>
        </is>
      </c>
      <c r="E63" s="7" t="n">
        <v>6</v>
      </c>
      <c r="F63" s="7">
        <f>A63&amp;B63&amp;"-"&amp;C63&amp;E63&amp;"-"&amp;D63</f>
        <v/>
      </c>
      <c r="G63" s="6" t="n">
        <v>1207</v>
      </c>
      <c r="H63" s="47">
        <f>_xlfn.XLOOKUP(G63,'All Associates'!A:A,'All Associates'!B:B)</f>
        <v/>
      </c>
      <c r="I63" s="47">
        <f>_xlfn.XLOOKUP(G63,'All Associates'!A:A,'All Associates'!D:D)</f>
        <v/>
      </c>
      <c r="J63" s="11">
        <f>IF(G63&lt;&gt;"","Allocated","Available")</f>
        <v/>
      </c>
    </row>
    <row r="64">
      <c r="A64" s="6" t="inlineStr">
        <is>
          <t>R</t>
        </is>
      </c>
      <c r="B64" s="6" t="n">
        <v>4</v>
      </c>
      <c r="C64" s="7" t="inlineStr">
        <is>
          <t>F</t>
        </is>
      </c>
      <c r="D64" s="12" t="inlineStr">
        <is>
          <t>06</t>
        </is>
      </c>
      <c r="E64" s="7" t="n">
        <v>6</v>
      </c>
      <c r="F64" s="7">
        <f>A64&amp;B64&amp;"-"&amp;C64&amp;E64&amp;"-"&amp;D64</f>
        <v/>
      </c>
      <c r="G64" s="6" t="n">
        <v>1151</v>
      </c>
      <c r="H64" s="47">
        <f>_xlfn.XLOOKUP(G64,'All Associates'!A:A,'All Associates'!B:B)</f>
        <v/>
      </c>
      <c r="I64" s="47">
        <f>_xlfn.XLOOKUP(G64,'All Associates'!A:A,'All Associates'!D:D)</f>
        <v/>
      </c>
      <c r="J64" s="11">
        <f>IF(G64&lt;&gt;"","Allocated","Available")</f>
        <v/>
      </c>
    </row>
    <row r="65">
      <c r="A65" s="6" t="inlineStr">
        <is>
          <t>R</t>
        </is>
      </c>
      <c r="B65" s="6" t="n">
        <v>4</v>
      </c>
      <c r="C65" s="7" t="inlineStr">
        <is>
          <t>F</t>
        </is>
      </c>
      <c r="D65" s="12" t="inlineStr">
        <is>
          <t>07</t>
        </is>
      </c>
      <c r="E65" s="7" t="n">
        <v>6</v>
      </c>
      <c r="F65" s="7">
        <f>A65&amp;B65&amp;"-"&amp;C65&amp;E65&amp;"-"&amp;D65</f>
        <v/>
      </c>
      <c r="G65" s="6" t="n">
        <v>1208</v>
      </c>
      <c r="H65" s="47">
        <f>_xlfn.XLOOKUP(G65,'All Associates'!A:A,'All Associates'!B:B)</f>
        <v/>
      </c>
      <c r="I65" s="47">
        <f>_xlfn.XLOOKUP(G65,'All Associates'!A:A,'All Associates'!D:D)</f>
        <v/>
      </c>
      <c r="J65" s="11">
        <f>IF(G65&lt;&gt;"","Allocated","Available")</f>
        <v/>
      </c>
    </row>
    <row r="66">
      <c r="A66" s="6" t="inlineStr">
        <is>
          <t>R</t>
        </is>
      </c>
      <c r="B66" s="6" t="n">
        <v>4</v>
      </c>
      <c r="C66" s="7" t="inlineStr">
        <is>
          <t>F</t>
        </is>
      </c>
      <c r="D66" s="12" t="inlineStr">
        <is>
          <t>08</t>
        </is>
      </c>
      <c r="E66" s="7" t="n">
        <v>6</v>
      </c>
      <c r="F66" s="7">
        <f>A66&amp;B66&amp;"-"&amp;C66&amp;E66&amp;"-"&amp;D66</f>
        <v/>
      </c>
      <c r="G66" s="6" t="n"/>
      <c r="H66" s="47">
        <f>_xlfn.XLOOKUP(G66,'All Associates'!A:A,'All Associates'!B:B)</f>
        <v/>
      </c>
      <c r="I66" s="47">
        <f>_xlfn.XLOOKUP(G66,'All Associates'!A:A,'All Associates'!D:D)</f>
        <v/>
      </c>
      <c r="J66" s="11">
        <f>IF(G66&lt;&gt;"","Allocated","Available")</f>
        <v/>
      </c>
    </row>
    <row r="67">
      <c r="A67" s="6" t="inlineStr">
        <is>
          <t>R</t>
        </is>
      </c>
      <c r="B67" s="6" t="n">
        <v>4</v>
      </c>
      <c r="C67" s="7" t="inlineStr">
        <is>
          <t>F</t>
        </is>
      </c>
      <c r="D67" s="12" t="inlineStr">
        <is>
          <t>01</t>
        </is>
      </c>
      <c r="E67" s="7" t="inlineStr">
        <is>
          <t>M1</t>
        </is>
      </c>
      <c r="F67" s="7">
        <f>A67&amp;B67&amp;"-"&amp;C67&amp;E67&amp;"-"&amp;D67</f>
        <v/>
      </c>
      <c r="G67" s="6" t="n"/>
      <c r="H67" s="47">
        <f>_xlfn.XLOOKUP(G67,'All Associates'!A:A,'All Associates'!B:B)</f>
        <v/>
      </c>
      <c r="I67" s="47">
        <f>_xlfn.XLOOKUP(G67,'All Associates'!A:A,'All Associates'!D:D)</f>
        <v/>
      </c>
      <c r="J67" s="11">
        <f>IF(G67&lt;&gt;"","Allocated","Available")</f>
        <v/>
      </c>
    </row>
    <row r="68">
      <c r="A68" s="6" t="inlineStr">
        <is>
          <t>R</t>
        </is>
      </c>
      <c r="B68" s="6" t="n">
        <v>4</v>
      </c>
      <c r="C68" s="6" t="inlineStr">
        <is>
          <t>G</t>
        </is>
      </c>
      <c r="D68" s="12" t="inlineStr">
        <is>
          <t>01</t>
        </is>
      </c>
      <c r="E68" s="7" t="n">
        <v>1</v>
      </c>
      <c r="F68" s="7">
        <f>A68&amp;B68&amp;"-"&amp;C68&amp;E68&amp;"-"&amp;D68</f>
        <v/>
      </c>
      <c r="G68" s="6" t="n">
        <v>116</v>
      </c>
      <c r="H68" s="47">
        <f>_xlfn.XLOOKUP(G68,'All Associates'!A:A,'All Associates'!B:B)</f>
        <v/>
      </c>
      <c r="I68" s="47">
        <f>_xlfn.XLOOKUP(G68,'All Associates'!A:A,'All Associates'!D:D)</f>
        <v/>
      </c>
      <c r="J68" s="11">
        <f>IF(G68&lt;&gt;"","Allocated","Available")</f>
        <v/>
      </c>
    </row>
    <row r="69">
      <c r="A69" s="6" t="inlineStr">
        <is>
          <t>R</t>
        </is>
      </c>
      <c r="B69" s="6" t="n">
        <v>4</v>
      </c>
      <c r="C69" s="6" t="inlineStr">
        <is>
          <t>G</t>
        </is>
      </c>
      <c r="D69" s="12" t="inlineStr">
        <is>
          <t>02</t>
        </is>
      </c>
      <c r="E69" s="7" t="n">
        <v>1</v>
      </c>
      <c r="F69" s="7">
        <f>A69&amp;B69&amp;"-"&amp;C69&amp;E69&amp;"-"&amp;D69</f>
        <v/>
      </c>
      <c r="G69" s="6" t="n"/>
      <c r="H69" s="47">
        <f>_xlfn.XLOOKUP(G69,'All Associates'!A:A,'All Associates'!B:B)</f>
        <v/>
      </c>
      <c r="I69" s="47">
        <f>_xlfn.XLOOKUP(G69,'All Associates'!A:A,'All Associates'!D:D)</f>
        <v/>
      </c>
      <c r="J69" s="11">
        <f>IF(G69&lt;&gt;"","Allocated","Available")</f>
        <v/>
      </c>
    </row>
    <row r="70">
      <c r="A70" s="6" t="inlineStr">
        <is>
          <t>R</t>
        </is>
      </c>
      <c r="B70" s="6" t="n">
        <v>4</v>
      </c>
      <c r="C70" s="6" t="inlineStr">
        <is>
          <t>G</t>
        </is>
      </c>
      <c r="D70" s="12" t="inlineStr">
        <is>
          <t>03</t>
        </is>
      </c>
      <c r="E70" s="7" t="n">
        <v>1</v>
      </c>
      <c r="F70" s="7">
        <f>A70&amp;B70&amp;"-"&amp;C70&amp;E70&amp;"-"&amp;D70</f>
        <v/>
      </c>
      <c r="G70" s="6" t="n"/>
      <c r="H70" s="47">
        <f>_xlfn.XLOOKUP(G70,'All Associates'!A:A,'All Associates'!B:B)</f>
        <v/>
      </c>
      <c r="I70" s="47">
        <f>_xlfn.XLOOKUP(G70,'All Associates'!A:A,'All Associates'!D:D)</f>
        <v/>
      </c>
      <c r="J70" s="11">
        <f>IF(G70&lt;&gt;"","Allocated","Available")</f>
        <v/>
      </c>
    </row>
    <row r="71">
      <c r="A71" s="6" t="inlineStr">
        <is>
          <t>R</t>
        </is>
      </c>
      <c r="B71" s="6" t="n">
        <v>4</v>
      </c>
      <c r="C71" s="6" t="inlineStr">
        <is>
          <t>G</t>
        </is>
      </c>
      <c r="D71" s="12" t="inlineStr">
        <is>
          <t>04</t>
        </is>
      </c>
      <c r="E71" s="7" t="n">
        <v>1</v>
      </c>
      <c r="F71" s="7">
        <f>A71&amp;B71&amp;"-"&amp;C71&amp;E71&amp;"-"&amp;D71</f>
        <v/>
      </c>
      <c r="G71" s="6" t="n"/>
      <c r="H71" s="47">
        <f>_xlfn.XLOOKUP(G71,'All Associates'!A:A,'All Associates'!B:B)</f>
        <v/>
      </c>
      <c r="I71" s="47">
        <f>_xlfn.XLOOKUP(G71,'All Associates'!A:A,'All Associates'!D:D)</f>
        <v/>
      </c>
      <c r="J71" s="11">
        <f>IF(G71&lt;&gt;"","Allocated","Available")</f>
        <v/>
      </c>
    </row>
    <row r="72">
      <c r="A72" s="6" t="inlineStr">
        <is>
          <t>R</t>
        </is>
      </c>
      <c r="B72" s="6" t="n">
        <v>4</v>
      </c>
      <c r="C72" s="6" t="inlineStr">
        <is>
          <t>G</t>
        </is>
      </c>
      <c r="D72" s="12" t="inlineStr">
        <is>
          <t>05</t>
        </is>
      </c>
      <c r="E72" s="7" t="n">
        <v>1</v>
      </c>
      <c r="F72" s="7">
        <f>A72&amp;B72&amp;"-"&amp;C72&amp;E72&amp;"-"&amp;D72</f>
        <v/>
      </c>
      <c r="G72" s="6" t="n"/>
      <c r="H72" s="47">
        <f>_xlfn.XLOOKUP(G72,'All Associates'!A:A,'All Associates'!B:B)</f>
        <v/>
      </c>
      <c r="I72" s="47">
        <f>_xlfn.XLOOKUP(G72,'All Associates'!A:A,'All Associates'!D:D)</f>
        <v/>
      </c>
      <c r="J72" s="11">
        <f>IF(G72&lt;&gt;"","Allocated","Available")</f>
        <v/>
      </c>
    </row>
    <row r="73">
      <c r="A73" s="6" t="inlineStr">
        <is>
          <t>R</t>
        </is>
      </c>
      <c r="B73" s="6" t="n">
        <v>4</v>
      </c>
      <c r="C73" s="6" t="inlineStr">
        <is>
          <t>G</t>
        </is>
      </c>
      <c r="D73" s="12" t="inlineStr">
        <is>
          <t>06</t>
        </is>
      </c>
      <c r="E73" s="7" t="n">
        <v>1</v>
      </c>
      <c r="F73" s="7">
        <f>A73&amp;B73&amp;"-"&amp;C73&amp;E73&amp;"-"&amp;D73</f>
        <v/>
      </c>
      <c r="G73" s="6" t="n"/>
      <c r="H73" s="47">
        <f>_xlfn.XLOOKUP(G73,'All Associates'!A:A,'All Associates'!B:B)</f>
        <v/>
      </c>
      <c r="I73" s="47">
        <f>_xlfn.XLOOKUP(G73,'All Associates'!A:A,'All Associates'!D:D)</f>
        <v/>
      </c>
      <c r="J73" s="11">
        <f>IF(G73&lt;&gt;"","Allocated","Available")</f>
        <v/>
      </c>
    </row>
    <row r="74">
      <c r="A74" s="6" t="inlineStr">
        <is>
          <t>R</t>
        </is>
      </c>
      <c r="B74" s="6" t="n">
        <v>4</v>
      </c>
      <c r="C74" s="6" t="inlineStr">
        <is>
          <t>G</t>
        </is>
      </c>
      <c r="D74" s="12" t="inlineStr">
        <is>
          <t>07</t>
        </is>
      </c>
      <c r="E74" s="7" t="n">
        <v>1</v>
      </c>
      <c r="F74" s="7">
        <f>A74&amp;B74&amp;"-"&amp;C74&amp;E74&amp;"-"&amp;D74</f>
        <v/>
      </c>
      <c r="G74" s="6" t="n"/>
      <c r="H74" s="47">
        <f>_xlfn.XLOOKUP(G74,'All Associates'!A:A,'All Associates'!B:B)</f>
        <v/>
      </c>
      <c r="I74" s="47">
        <f>_xlfn.XLOOKUP(G74,'All Associates'!A:A,'All Associates'!D:D)</f>
        <v/>
      </c>
      <c r="J74" s="11">
        <f>IF(G74&lt;&gt;"","Allocated","Available")</f>
        <v/>
      </c>
    </row>
    <row r="75">
      <c r="A75" s="6" t="inlineStr">
        <is>
          <t>R</t>
        </is>
      </c>
      <c r="B75" s="6" t="n">
        <v>4</v>
      </c>
      <c r="C75" s="6" t="inlineStr">
        <is>
          <t>G</t>
        </is>
      </c>
      <c r="D75" s="12" t="inlineStr">
        <is>
          <t>01</t>
        </is>
      </c>
      <c r="E75" s="7" t="n">
        <v>2</v>
      </c>
      <c r="F75" s="7">
        <f>A75&amp;B75&amp;"-"&amp;C75&amp;E75&amp;"-"&amp;D75</f>
        <v/>
      </c>
      <c r="G75" s="6" t="n"/>
      <c r="H75" s="47">
        <f>_xlfn.XLOOKUP(G75,'All Associates'!A:A,'All Associates'!B:B)</f>
        <v/>
      </c>
      <c r="I75" s="47">
        <f>_xlfn.XLOOKUP(G75,'All Associates'!A:A,'All Associates'!D:D)</f>
        <v/>
      </c>
      <c r="J75" s="11">
        <f>IF(G75&lt;&gt;"","Allocated","Available")</f>
        <v/>
      </c>
    </row>
    <row r="76">
      <c r="A76" s="6" t="inlineStr">
        <is>
          <t>R</t>
        </is>
      </c>
      <c r="B76" s="6" t="n">
        <v>4</v>
      </c>
      <c r="C76" s="6" t="inlineStr">
        <is>
          <t>G</t>
        </is>
      </c>
      <c r="D76" s="12" t="inlineStr">
        <is>
          <t>02</t>
        </is>
      </c>
      <c r="E76" s="7" t="n">
        <v>2</v>
      </c>
      <c r="F76" s="7">
        <f>A76&amp;B76&amp;"-"&amp;C76&amp;E76&amp;"-"&amp;D76</f>
        <v/>
      </c>
      <c r="G76" s="6" t="n"/>
      <c r="H76" s="47">
        <f>_xlfn.XLOOKUP(G76,'All Associates'!A:A,'All Associates'!B:B)</f>
        <v/>
      </c>
      <c r="I76" s="47">
        <f>_xlfn.XLOOKUP(G76,'All Associates'!A:A,'All Associates'!D:D)</f>
        <v/>
      </c>
      <c r="J76" s="11">
        <f>IF(G76&lt;&gt;"","Allocated","Available")</f>
        <v/>
      </c>
    </row>
    <row r="77">
      <c r="A77" s="6" t="inlineStr">
        <is>
          <t>R</t>
        </is>
      </c>
      <c r="B77" s="6" t="n">
        <v>4</v>
      </c>
      <c r="C77" s="6" t="inlineStr">
        <is>
          <t>G</t>
        </is>
      </c>
      <c r="D77" s="12" t="inlineStr">
        <is>
          <t>03</t>
        </is>
      </c>
      <c r="E77" s="7" t="n">
        <v>2</v>
      </c>
      <c r="F77" s="7">
        <f>A77&amp;B77&amp;"-"&amp;C77&amp;E77&amp;"-"&amp;D77</f>
        <v/>
      </c>
      <c r="G77" s="6" t="n"/>
      <c r="H77" s="47">
        <f>_xlfn.XLOOKUP(G77,'All Associates'!A:A,'All Associates'!B:B)</f>
        <v/>
      </c>
      <c r="I77" s="47">
        <f>_xlfn.XLOOKUP(G77,'All Associates'!A:A,'All Associates'!D:D)</f>
        <v/>
      </c>
      <c r="J77" s="11">
        <f>IF(G77&lt;&gt;"","Allocated","Available")</f>
        <v/>
      </c>
    </row>
    <row r="78">
      <c r="A78" s="6" t="inlineStr">
        <is>
          <t>R</t>
        </is>
      </c>
      <c r="B78" s="6" t="n">
        <v>4</v>
      </c>
      <c r="C78" s="6" t="inlineStr">
        <is>
          <t>G</t>
        </is>
      </c>
      <c r="D78" s="12" t="inlineStr">
        <is>
          <t>04</t>
        </is>
      </c>
      <c r="E78" s="7" t="n">
        <v>2</v>
      </c>
      <c r="F78" s="7">
        <f>A78&amp;B78&amp;"-"&amp;C78&amp;E78&amp;"-"&amp;D78</f>
        <v/>
      </c>
      <c r="G78" s="6" t="n"/>
      <c r="H78" s="47">
        <f>_xlfn.XLOOKUP(G78,'All Associates'!A:A,'All Associates'!B:B)</f>
        <v/>
      </c>
      <c r="I78" s="47">
        <f>_xlfn.XLOOKUP(G78,'All Associates'!A:A,'All Associates'!D:D)</f>
        <v/>
      </c>
      <c r="J78" s="11">
        <f>IF(G78&lt;&gt;"","Allocated","Available")</f>
        <v/>
      </c>
    </row>
    <row r="79">
      <c r="A79" s="6" t="inlineStr">
        <is>
          <t>R</t>
        </is>
      </c>
      <c r="B79" s="6" t="n">
        <v>4</v>
      </c>
      <c r="C79" s="6" t="inlineStr">
        <is>
          <t>G</t>
        </is>
      </c>
      <c r="D79" s="12" t="inlineStr">
        <is>
          <t>05</t>
        </is>
      </c>
      <c r="E79" s="7" t="n">
        <v>2</v>
      </c>
      <c r="F79" s="7">
        <f>A79&amp;B79&amp;"-"&amp;C79&amp;E79&amp;"-"&amp;D79</f>
        <v/>
      </c>
      <c r="G79" s="6" t="n"/>
      <c r="H79" s="47">
        <f>_xlfn.XLOOKUP(G79,'All Associates'!A:A,'All Associates'!B:B)</f>
        <v/>
      </c>
      <c r="I79" s="47">
        <f>_xlfn.XLOOKUP(G79,'All Associates'!A:A,'All Associates'!D:D)</f>
        <v/>
      </c>
      <c r="J79" s="11">
        <f>IF(G79&lt;&gt;"","Allocated","Available")</f>
        <v/>
      </c>
    </row>
    <row r="80">
      <c r="A80" s="6" t="inlineStr">
        <is>
          <t>R</t>
        </is>
      </c>
      <c r="B80" s="6" t="n">
        <v>4</v>
      </c>
      <c r="C80" s="6" t="inlineStr">
        <is>
          <t>G</t>
        </is>
      </c>
      <c r="D80" s="12" t="inlineStr">
        <is>
          <t>06</t>
        </is>
      </c>
      <c r="E80" s="7" t="n">
        <v>2</v>
      </c>
      <c r="F80" s="7">
        <f>A80&amp;B80&amp;"-"&amp;C80&amp;E80&amp;"-"&amp;D80</f>
        <v/>
      </c>
      <c r="G80" s="6" t="n"/>
      <c r="H80" s="47">
        <f>_xlfn.XLOOKUP(G80,'All Associates'!A:A,'All Associates'!B:B)</f>
        <v/>
      </c>
      <c r="I80" s="47">
        <f>_xlfn.XLOOKUP(G80,'All Associates'!A:A,'All Associates'!D:D)</f>
        <v/>
      </c>
      <c r="J80" s="11">
        <f>IF(G80&lt;&gt;"","Allocated","Available")</f>
        <v/>
      </c>
    </row>
    <row r="81">
      <c r="A81" s="6" t="inlineStr">
        <is>
          <t>R</t>
        </is>
      </c>
      <c r="B81" s="6" t="n">
        <v>4</v>
      </c>
      <c r="C81" s="6" t="inlineStr">
        <is>
          <t>G</t>
        </is>
      </c>
      <c r="D81" s="12" t="inlineStr">
        <is>
          <t>01</t>
        </is>
      </c>
      <c r="E81" s="7" t="n">
        <v>3</v>
      </c>
      <c r="F81" s="7">
        <f>A81&amp;B81&amp;"-"&amp;C81&amp;E81&amp;"-"&amp;D81</f>
        <v/>
      </c>
      <c r="G81" s="6" t="n">
        <v>1126</v>
      </c>
      <c r="H81" s="47">
        <f>_xlfn.XLOOKUP(G81,'All Associates'!A:A,'All Associates'!B:B)</f>
        <v/>
      </c>
      <c r="I81" s="47">
        <f>_xlfn.XLOOKUP(G81,'All Associates'!A:A,'All Associates'!D:D)</f>
        <v/>
      </c>
      <c r="J81" s="11">
        <f>IF(G81&lt;&gt;"","Allocated","Available")</f>
        <v/>
      </c>
    </row>
    <row r="82">
      <c r="A82" s="6" t="inlineStr">
        <is>
          <t>R</t>
        </is>
      </c>
      <c r="B82" s="6" t="n">
        <v>4</v>
      </c>
      <c r="C82" s="6" t="inlineStr">
        <is>
          <t>G</t>
        </is>
      </c>
      <c r="D82" s="12" t="inlineStr">
        <is>
          <t>02</t>
        </is>
      </c>
      <c r="E82" s="7" t="n">
        <v>3</v>
      </c>
      <c r="F82" s="7">
        <f>A82&amp;B82&amp;"-"&amp;C82&amp;E82&amp;"-"&amp;D82</f>
        <v/>
      </c>
      <c r="G82" s="6" t="n">
        <v>945</v>
      </c>
      <c r="H82" s="47">
        <f>_xlfn.XLOOKUP(G82,'All Associates'!A:A,'All Associates'!B:B)</f>
        <v/>
      </c>
      <c r="I82" s="47">
        <f>_xlfn.XLOOKUP(G82,'All Associates'!A:A,'All Associates'!D:D)</f>
        <v/>
      </c>
      <c r="J82" s="11">
        <f>IF(G82&lt;&gt;"","Allocated","Available")</f>
        <v/>
      </c>
    </row>
    <row r="83">
      <c r="A83" s="6" t="inlineStr">
        <is>
          <t>R</t>
        </is>
      </c>
      <c r="B83" s="6" t="n">
        <v>4</v>
      </c>
      <c r="C83" s="6" t="inlineStr">
        <is>
          <t>G</t>
        </is>
      </c>
      <c r="D83" s="12" t="inlineStr">
        <is>
          <t>03</t>
        </is>
      </c>
      <c r="E83" s="7" t="n">
        <v>3</v>
      </c>
      <c r="F83" s="7">
        <f>A83&amp;B83&amp;"-"&amp;C83&amp;E83&amp;"-"&amp;D83</f>
        <v/>
      </c>
      <c r="G83" s="6" t="n">
        <v>586</v>
      </c>
      <c r="H83" s="47">
        <f>_xlfn.XLOOKUP(G83,'All Associates'!A:A,'All Associates'!B:B)</f>
        <v/>
      </c>
      <c r="I83" s="47">
        <f>_xlfn.XLOOKUP(G83,'All Associates'!A:A,'All Associates'!D:D)</f>
        <v/>
      </c>
      <c r="J83" s="11">
        <f>IF(G84&lt;&gt;"","Allocated","Available")</f>
        <v/>
      </c>
    </row>
    <row r="84">
      <c r="A84" s="6" t="inlineStr">
        <is>
          <t>R</t>
        </is>
      </c>
      <c r="B84" s="6" t="n">
        <v>4</v>
      </c>
      <c r="C84" s="6" t="inlineStr">
        <is>
          <t>G</t>
        </is>
      </c>
      <c r="D84" s="12" t="inlineStr">
        <is>
          <t>04</t>
        </is>
      </c>
      <c r="E84" s="7" t="n">
        <v>3</v>
      </c>
      <c r="F84" s="7">
        <f>A84&amp;B84&amp;"-"&amp;C84&amp;E84&amp;"-"&amp;D84</f>
        <v/>
      </c>
      <c r="G84" s="6" t="n">
        <v>722</v>
      </c>
      <c r="H84" s="47">
        <f>_xlfn.XLOOKUP(G84,'All Associates'!A:A,'All Associates'!B:B)</f>
        <v/>
      </c>
      <c r="I84" s="47">
        <f>_xlfn.XLOOKUP(G84,'All Associates'!A:A,'All Associates'!D:D)</f>
        <v/>
      </c>
      <c r="J84" s="11">
        <f>IF(G82&lt;&gt;"","Allocated","Available")</f>
        <v/>
      </c>
    </row>
    <row r="85">
      <c r="A85" s="6" t="inlineStr">
        <is>
          <t>R</t>
        </is>
      </c>
      <c r="B85" s="6" t="n">
        <v>4</v>
      </c>
      <c r="C85" s="6" t="inlineStr">
        <is>
          <t>G</t>
        </is>
      </c>
      <c r="D85" s="12" t="inlineStr">
        <is>
          <t>05</t>
        </is>
      </c>
      <c r="E85" s="7" t="n">
        <v>3</v>
      </c>
      <c r="F85" s="7">
        <f>A85&amp;B85&amp;"-"&amp;C85&amp;E85&amp;"-"&amp;D85</f>
        <v/>
      </c>
      <c r="G85" s="1" t="n">
        <v>1144</v>
      </c>
      <c r="H85" s="18" t="inlineStr">
        <is>
          <t>GHERASIM GABRIEL</t>
        </is>
      </c>
      <c r="I85" s="47" t="inlineStr">
        <is>
          <t>Lungu Oana-Teodora</t>
        </is>
      </c>
      <c r="J85" s="11">
        <f>IF(G83&lt;&gt;"","Allocated","Available")</f>
        <v/>
      </c>
    </row>
    <row r="86">
      <c r="A86" s="6" t="inlineStr">
        <is>
          <t>R</t>
        </is>
      </c>
      <c r="B86" s="6" t="n">
        <v>4</v>
      </c>
      <c r="C86" s="6" t="inlineStr">
        <is>
          <t>G</t>
        </is>
      </c>
      <c r="D86" s="12" t="inlineStr">
        <is>
          <t>06</t>
        </is>
      </c>
      <c r="E86" s="7" t="n">
        <v>3</v>
      </c>
      <c r="F86" s="7">
        <f>A86&amp;B86&amp;"-"&amp;C86&amp;E86&amp;"-"&amp;D86</f>
        <v/>
      </c>
      <c r="G86" s="6" t="n">
        <v>2057</v>
      </c>
      <c r="H86" s="47">
        <f>_xlfn.XLOOKUP(G86,'All Associates'!A:A,'All Associates'!B:B)</f>
        <v/>
      </c>
      <c r="I86" s="47">
        <f>_xlfn.XLOOKUP(G86,'All Associates'!A:A,'All Associates'!D:D)</f>
        <v/>
      </c>
      <c r="J86" s="11">
        <f>IF(G86&lt;&gt;"","Allocated","Available")</f>
        <v/>
      </c>
    </row>
    <row r="87">
      <c r="A87" s="6" t="inlineStr">
        <is>
          <t>R</t>
        </is>
      </c>
      <c r="B87" s="6" t="n">
        <v>4</v>
      </c>
      <c r="C87" s="6" t="inlineStr">
        <is>
          <t>G</t>
        </is>
      </c>
      <c r="D87" s="12" t="inlineStr">
        <is>
          <t>07</t>
        </is>
      </c>
      <c r="E87" s="7" t="n">
        <v>3</v>
      </c>
      <c r="F87" s="7">
        <f>A87&amp;B87&amp;"-"&amp;C87&amp;E87&amp;"-"&amp;D87</f>
        <v/>
      </c>
      <c r="G87" s="6" t="n"/>
      <c r="H87" s="47">
        <f>_xlfn.XLOOKUP(G87,'All Associates'!A:A,'All Associates'!B:B)</f>
        <v/>
      </c>
      <c r="I87" s="47">
        <f>_xlfn.XLOOKUP(G87,'All Associates'!A:A,'All Associates'!D:D)</f>
        <v/>
      </c>
      <c r="J87" s="11">
        <f>IF(G87&lt;&gt;"","Allocated","Available")</f>
        <v/>
      </c>
    </row>
    <row r="88">
      <c r="A88" s="6" t="inlineStr">
        <is>
          <t>R</t>
        </is>
      </c>
      <c r="B88" s="6" t="n">
        <v>4</v>
      </c>
      <c r="C88" s="6" t="inlineStr">
        <is>
          <t>G</t>
        </is>
      </c>
      <c r="D88" s="12" t="inlineStr">
        <is>
          <t>08</t>
        </is>
      </c>
      <c r="E88" s="7" t="n">
        <v>3</v>
      </c>
      <c r="F88" s="7">
        <f>A88&amp;B88&amp;"-"&amp;C88&amp;E88&amp;"-"&amp;D88</f>
        <v/>
      </c>
      <c r="G88" s="6" t="n">
        <v>2060</v>
      </c>
      <c r="H88" s="47">
        <f>_xlfn.XLOOKUP(G88,'All Associates'!A:A,'All Associates'!B:B)</f>
        <v/>
      </c>
      <c r="I88" s="47">
        <f>_xlfn.XLOOKUP(G88,'All Associates'!A:A,'All Associates'!D:D)</f>
        <v/>
      </c>
      <c r="J88" s="11">
        <f>IF(G88&lt;&gt;"","Allocated","Available")</f>
        <v/>
      </c>
    </row>
    <row r="89">
      <c r="A89" s="6" t="inlineStr">
        <is>
          <t>R</t>
        </is>
      </c>
      <c r="B89" s="6" t="n">
        <v>4</v>
      </c>
      <c r="C89" s="6" t="inlineStr">
        <is>
          <t>G</t>
        </is>
      </c>
      <c r="D89" s="12" t="inlineStr">
        <is>
          <t>01</t>
        </is>
      </c>
      <c r="E89" s="7" t="n">
        <v>4</v>
      </c>
      <c r="F89" s="7">
        <f>A89&amp;B89&amp;"-"&amp;C89&amp;E89&amp;"-"&amp;D89</f>
        <v/>
      </c>
      <c r="G89" s="6" t="n">
        <v>288</v>
      </c>
      <c r="H89" s="47">
        <f>_xlfn.XLOOKUP(G89,'All Associates'!A:A,'All Associates'!B:B)</f>
        <v/>
      </c>
      <c r="I89" s="47">
        <f>_xlfn.XLOOKUP(G89,'All Associates'!A:A,'All Associates'!D:D)</f>
        <v/>
      </c>
      <c r="J89" s="11">
        <f>IF(G89&lt;&gt;"","Allocated","Available")</f>
        <v/>
      </c>
    </row>
    <row r="90">
      <c r="A90" s="6" t="inlineStr">
        <is>
          <t>R</t>
        </is>
      </c>
      <c r="B90" s="6" t="n">
        <v>4</v>
      </c>
      <c r="C90" s="6" t="inlineStr">
        <is>
          <t>G</t>
        </is>
      </c>
      <c r="D90" s="12" t="inlineStr">
        <is>
          <t>02</t>
        </is>
      </c>
      <c r="E90" s="7" t="n">
        <v>4</v>
      </c>
      <c r="F90" s="7">
        <f>A90&amp;B90&amp;"-"&amp;C90&amp;E90&amp;"-"&amp;D90</f>
        <v/>
      </c>
      <c r="G90" s="6" t="n">
        <v>266</v>
      </c>
      <c r="H90" s="47">
        <f>_xlfn.XLOOKUP(G90,'All Associates'!A:A,'All Associates'!B:B)</f>
        <v/>
      </c>
      <c r="I90" s="47">
        <f>_xlfn.XLOOKUP(G90,'All Associates'!A:A,'All Associates'!D:D)</f>
        <v/>
      </c>
      <c r="J90" s="11">
        <f>IF(G90&lt;&gt;"","Allocated","Available")</f>
        <v/>
      </c>
    </row>
    <row r="91">
      <c r="A91" s="6" t="inlineStr">
        <is>
          <t>R</t>
        </is>
      </c>
      <c r="B91" s="6" t="n">
        <v>4</v>
      </c>
      <c r="C91" s="6" t="inlineStr">
        <is>
          <t>G</t>
        </is>
      </c>
      <c r="D91" s="12" t="inlineStr">
        <is>
          <t>03</t>
        </is>
      </c>
      <c r="E91" s="7" t="n">
        <v>4</v>
      </c>
      <c r="F91" s="7">
        <f>A91&amp;B91&amp;"-"&amp;C91&amp;E91&amp;"-"&amp;D91</f>
        <v/>
      </c>
      <c r="G91" s="6" t="n">
        <v>1135</v>
      </c>
      <c r="H91" s="47">
        <f>_xlfn.XLOOKUP(G91,'All Associates'!A:A,'All Associates'!B:B)</f>
        <v/>
      </c>
      <c r="I91" s="47">
        <f>_xlfn.XLOOKUP(G91,'All Associates'!A:A,'All Associates'!D:D)</f>
        <v/>
      </c>
      <c r="J91" s="11">
        <f>IF(G91&lt;&gt;"","Allocated","Available")</f>
        <v/>
      </c>
    </row>
    <row r="92">
      <c r="A92" s="6" t="inlineStr">
        <is>
          <t>R</t>
        </is>
      </c>
      <c r="B92" s="6" t="n">
        <v>4</v>
      </c>
      <c r="C92" s="6" t="inlineStr">
        <is>
          <t>G</t>
        </is>
      </c>
      <c r="D92" s="12" t="inlineStr">
        <is>
          <t>04</t>
        </is>
      </c>
      <c r="E92" s="7" t="n">
        <v>4</v>
      </c>
      <c r="F92" s="7">
        <f>A92&amp;B92&amp;"-"&amp;C92&amp;E92&amp;"-"&amp;D92</f>
        <v/>
      </c>
      <c r="G92" s="6" t="n">
        <v>441</v>
      </c>
      <c r="H92" s="47">
        <f>_xlfn.XLOOKUP(G92,'All Associates'!A:A,'All Associates'!B:B)</f>
        <v/>
      </c>
      <c r="I92" s="58">
        <f>_xlfn.XLOOKUP(G92,'All Associates'!A:A,'All Associates'!D:D)</f>
        <v/>
      </c>
      <c r="J92" s="11">
        <f>IF(G92&lt;&gt;"","Allocated","Available")</f>
        <v/>
      </c>
    </row>
    <row r="93">
      <c r="A93" s="6" t="inlineStr">
        <is>
          <t>R</t>
        </is>
      </c>
      <c r="B93" s="6" t="n">
        <v>4</v>
      </c>
      <c r="C93" s="6" t="inlineStr">
        <is>
          <t>G</t>
        </is>
      </c>
      <c r="D93" s="12" t="inlineStr">
        <is>
          <t>05</t>
        </is>
      </c>
      <c r="E93" s="7" t="n">
        <v>4</v>
      </c>
      <c r="F93" s="7">
        <f>A93&amp;B93&amp;"-"&amp;C93&amp;E93&amp;"-"&amp;D93</f>
        <v/>
      </c>
      <c r="G93" s="6" t="n">
        <v>1193</v>
      </c>
      <c r="H93" s="47" t="inlineStr">
        <is>
          <t>ALEXANDRA MARIA PITU</t>
        </is>
      </c>
      <c r="I93" s="47" t="inlineStr">
        <is>
          <t>Oroian Claudiu Vasile</t>
        </is>
      </c>
      <c r="J93" s="11" t="inlineStr">
        <is>
          <t>Allocated</t>
        </is>
      </c>
    </row>
    <row r="94">
      <c r="A94" s="6" t="inlineStr">
        <is>
          <t>R</t>
        </is>
      </c>
      <c r="B94" s="6" t="n">
        <v>4</v>
      </c>
      <c r="C94" s="6" t="inlineStr">
        <is>
          <t>G</t>
        </is>
      </c>
      <c r="D94" s="12" t="inlineStr">
        <is>
          <t>06</t>
        </is>
      </c>
      <c r="E94" s="7" t="n">
        <v>4</v>
      </c>
      <c r="F94" s="7">
        <f>A94&amp;B94&amp;"-"&amp;C94&amp;E94&amp;"-"&amp;D94</f>
        <v/>
      </c>
      <c r="G94" s="6" t="n"/>
      <c r="H94" s="47">
        <f>_xlfn.XLOOKUP(G94,'All Associates'!A:A,'All Associates'!B:B)</f>
        <v/>
      </c>
      <c r="I94" s="47">
        <f>_xlfn.XLOOKUP(G94,'All Associates'!A:A,'All Associates'!D:D)</f>
        <v/>
      </c>
      <c r="J94" s="11">
        <f>IF(G94&lt;&gt;"","Allocated","Available")</f>
        <v/>
      </c>
    </row>
    <row r="95">
      <c r="A95" s="6" t="inlineStr">
        <is>
          <t>R</t>
        </is>
      </c>
      <c r="B95" s="6" t="n">
        <v>4</v>
      </c>
      <c r="C95" s="6" t="inlineStr">
        <is>
          <t>G</t>
        </is>
      </c>
      <c r="D95" s="12" t="inlineStr">
        <is>
          <t>07</t>
        </is>
      </c>
      <c r="E95" s="7" t="n">
        <v>4</v>
      </c>
      <c r="F95" s="7">
        <f>A95&amp;B95&amp;"-"&amp;C95&amp;E95&amp;"-"&amp;D95</f>
        <v/>
      </c>
      <c r="G95" s="6" t="n">
        <v>1152</v>
      </c>
      <c r="H95" s="47">
        <f>_xlfn.XLOOKUP(G95,'All Associates'!A:A,'All Associates'!B:B)</f>
        <v/>
      </c>
      <c r="I95" s="47">
        <f>_xlfn.XLOOKUP(G95,'All Associates'!A:A,'All Associates'!D:D)</f>
        <v/>
      </c>
      <c r="J95" s="11">
        <f>IF(G95&lt;&gt;"","Allocated","Available")</f>
        <v/>
      </c>
    </row>
    <row r="96">
      <c r="A96" s="6" t="inlineStr">
        <is>
          <t>R</t>
        </is>
      </c>
      <c r="B96" s="6" t="n">
        <v>4</v>
      </c>
      <c r="C96" s="6" t="inlineStr">
        <is>
          <t>G</t>
        </is>
      </c>
      <c r="D96" s="12" t="inlineStr">
        <is>
          <t>08</t>
        </is>
      </c>
      <c r="E96" s="7" t="n">
        <v>4</v>
      </c>
      <c r="F96" s="7">
        <f>A96&amp;B96&amp;"-"&amp;C96&amp;E96&amp;"-"&amp;D96</f>
        <v/>
      </c>
      <c r="G96" s="6" t="n"/>
      <c r="H96" s="47">
        <f>_xlfn.XLOOKUP(G96,'All Associates'!A:A,'All Associates'!B:B)</f>
        <v/>
      </c>
      <c r="I96" s="47">
        <f>_xlfn.XLOOKUP(G96,'All Associates'!A:A,'All Associates'!D:D)</f>
        <v/>
      </c>
      <c r="J96" s="11">
        <f>IF(G96&lt;&gt;"","Allocated","Available")</f>
        <v/>
      </c>
    </row>
    <row r="97">
      <c r="A97" s="6" t="inlineStr">
        <is>
          <t>R</t>
        </is>
      </c>
      <c r="B97" s="6" t="n">
        <v>4</v>
      </c>
      <c r="C97" s="6" t="inlineStr">
        <is>
          <t>G</t>
        </is>
      </c>
      <c r="D97" s="12" t="inlineStr">
        <is>
          <t>01</t>
        </is>
      </c>
      <c r="E97" s="7" t="inlineStr">
        <is>
          <t>M1</t>
        </is>
      </c>
      <c r="F97" s="7">
        <f>A97&amp;B97&amp;"-"&amp;C97&amp;E97&amp;"-"&amp;D97</f>
        <v/>
      </c>
      <c r="G97" s="6" t="n">
        <v>164</v>
      </c>
      <c r="H97" s="47">
        <f>_xlfn.XLOOKUP(G97,'All Associates'!A:A,'All Associates'!B:B)</f>
        <v/>
      </c>
      <c r="I97" s="47">
        <f>_xlfn.XLOOKUP(G97,'All Associates'!A:A,'All Associates'!D:D)</f>
        <v/>
      </c>
      <c r="J97" s="11">
        <f>IF(G97&lt;&gt;"","Allocated","Available")</f>
        <v/>
      </c>
    </row>
    <row r="98">
      <c r="A98" s="6" t="inlineStr">
        <is>
          <t>R</t>
        </is>
      </c>
      <c r="B98" s="6" t="n">
        <v>4</v>
      </c>
      <c r="C98" s="6" t="inlineStr">
        <is>
          <t>H</t>
        </is>
      </c>
      <c r="D98" s="12" t="inlineStr">
        <is>
          <t>01</t>
        </is>
      </c>
      <c r="E98" s="7" t="inlineStr">
        <is>
          <t>M1</t>
        </is>
      </c>
      <c r="F98" s="7">
        <f>A98&amp;B98&amp;"-"&amp;C98&amp;E98&amp;"-"&amp;D98</f>
        <v/>
      </c>
      <c r="G98" s="6" t="n">
        <v>1119</v>
      </c>
      <c r="H98" s="47">
        <f>_xlfn.XLOOKUP(G98,'All Associates'!A:A,'All Associates'!B:B)</f>
        <v/>
      </c>
      <c r="I98" s="47">
        <f>_xlfn.XLOOKUP(G98,'All Associates'!A:A,'All Associates'!D:D)</f>
        <v/>
      </c>
      <c r="J98" s="11">
        <f>IF(G98&lt;&gt;"","Allocated","Available")</f>
        <v/>
      </c>
    </row>
    <row r="99">
      <c r="A99" s="6" t="inlineStr">
        <is>
          <t>R</t>
        </is>
      </c>
      <c r="B99" s="6" t="n">
        <v>4</v>
      </c>
      <c r="C99" s="6" t="inlineStr">
        <is>
          <t>H</t>
        </is>
      </c>
      <c r="D99" s="12" t="inlineStr">
        <is>
          <t>01</t>
        </is>
      </c>
      <c r="E99" s="7" t="n">
        <v>1</v>
      </c>
      <c r="F99" s="7">
        <f>A99&amp;B99&amp;"-"&amp;C99&amp;E99&amp;"-"&amp;D99</f>
        <v/>
      </c>
      <c r="G99" s="6" t="n">
        <v>559</v>
      </c>
      <c r="H99" s="47">
        <f>_xlfn.XLOOKUP(G99,'All Associates'!A:A,'All Associates'!B:B)</f>
        <v/>
      </c>
      <c r="I99" s="47">
        <f>_xlfn.XLOOKUP(G99,'All Associates'!A:A,'All Associates'!D:D)</f>
        <v/>
      </c>
      <c r="J99" s="11">
        <f>IF(G99&lt;&gt;"","Allocated","Available")</f>
        <v/>
      </c>
    </row>
    <row r="100">
      <c r="A100" s="6" t="inlineStr">
        <is>
          <t>R</t>
        </is>
      </c>
      <c r="B100" s="6" t="n">
        <v>4</v>
      </c>
      <c r="C100" s="6" t="inlineStr">
        <is>
          <t>H</t>
        </is>
      </c>
      <c r="D100" s="12" t="inlineStr">
        <is>
          <t>02</t>
        </is>
      </c>
      <c r="E100" s="7" t="n">
        <v>1</v>
      </c>
      <c r="F100" s="7">
        <f>A100&amp;B100&amp;"-"&amp;C100&amp;E100&amp;"-"&amp;D100</f>
        <v/>
      </c>
      <c r="G100" s="6" t="n">
        <v>485</v>
      </c>
      <c r="H100" s="47">
        <f>_xlfn.XLOOKUP(G100,'All Associates'!A:A,'All Associates'!B:B)</f>
        <v/>
      </c>
      <c r="I100" s="47">
        <f>_xlfn.XLOOKUP(G100,'All Associates'!A:A,'All Associates'!D:D)</f>
        <v/>
      </c>
      <c r="J100" s="11">
        <f>IF(G100&lt;&gt;"","Allocated","Available")</f>
        <v/>
      </c>
    </row>
    <row r="101">
      <c r="A101" s="6" t="inlineStr">
        <is>
          <t>R</t>
        </is>
      </c>
      <c r="B101" s="6" t="n">
        <v>4</v>
      </c>
      <c r="C101" s="6" t="inlineStr">
        <is>
          <t>H</t>
        </is>
      </c>
      <c r="D101" s="12" t="inlineStr">
        <is>
          <t>03</t>
        </is>
      </c>
      <c r="E101" s="7" t="n">
        <v>1</v>
      </c>
      <c r="F101" s="7">
        <f>A101&amp;B101&amp;"-"&amp;C101&amp;E101&amp;"-"&amp;D101</f>
        <v/>
      </c>
      <c r="G101" s="6" t="n">
        <v>986</v>
      </c>
      <c r="H101" s="47">
        <f>_xlfn.XLOOKUP(G101,'All Associates'!A:A,'All Associates'!B:B)</f>
        <v/>
      </c>
      <c r="I101" s="47">
        <f>_xlfn.XLOOKUP(G101,'All Associates'!A:A,'All Associates'!D:D)</f>
        <v/>
      </c>
      <c r="J101" s="11">
        <f>IF(G101&lt;&gt;"","Allocated","Available")</f>
        <v/>
      </c>
    </row>
    <row r="102">
      <c r="A102" s="6" t="inlineStr">
        <is>
          <t>R</t>
        </is>
      </c>
      <c r="B102" s="6" t="n">
        <v>4</v>
      </c>
      <c r="C102" s="14" t="inlineStr">
        <is>
          <t>H</t>
        </is>
      </c>
      <c r="D102" s="15" t="inlineStr">
        <is>
          <t>04</t>
        </is>
      </c>
      <c r="E102" s="16" t="n">
        <v>1</v>
      </c>
      <c r="F102" s="7">
        <f>A102&amp;B102&amp;"-"&amp;C102&amp;E102&amp;"-"&amp;D102</f>
        <v/>
      </c>
      <c r="G102" s="6" t="n">
        <v>841</v>
      </c>
      <c r="H102" s="47">
        <f>_xlfn.XLOOKUP(G102,'All Associates'!A:A,'All Associates'!B:B)</f>
        <v/>
      </c>
      <c r="I102" s="47">
        <f>_xlfn.XLOOKUP(G102,'All Associates'!A:A,'All Associates'!D:D)</f>
        <v/>
      </c>
      <c r="J102" s="11">
        <f>IF(G102&lt;&gt;"","Allocated","Available")</f>
        <v/>
      </c>
    </row>
    <row r="103">
      <c r="A103" s="6" t="inlineStr">
        <is>
          <t>R</t>
        </is>
      </c>
      <c r="B103" s="6" t="n">
        <v>4</v>
      </c>
      <c r="C103" s="14" t="inlineStr">
        <is>
          <t>H</t>
        </is>
      </c>
      <c r="D103" s="15" t="inlineStr">
        <is>
          <t>05</t>
        </is>
      </c>
      <c r="E103" s="16" t="n">
        <v>1</v>
      </c>
      <c r="F103" s="7">
        <f>A103&amp;B103&amp;"-"&amp;C103&amp;E103&amp;"-"&amp;D103</f>
        <v/>
      </c>
      <c r="G103" s="6" t="n">
        <v>961</v>
      </c>
      <c r="H103" s="47">
        <f>_xlfn.XLOOKUP(G103,'All Associates'!A:A,'All Associates'!B:B)</f>
        <v/>
      </c>
      <c r="I103" s="47">
        <f>_xlfn.XLOOKUP(G103,'All Associates'!A:A,'All Associates'!D:D)</f>
        <v/>
      </c>
      <c r="J103" s="11">
        <f>IF(G103&lt;&gt;"","Allocated","Available")</f>
        <v/>
      </c>
    </row>
    <row r="104">
      <c r="A104" s="6" t="inlineStr">
        <is>
          <t>R</t>
        </is>
      </c>
      <c r="B104" s="6" t="n">
        <v>4</v>
      </c>
      <c r="C104" s="6" t="inlineStr">
        <is>
          <t>H</t>
        </is>
      </c>
      <c r="D104" s="12" t="inlineStr">
        <is>
          <t>06</t>
        </is>
      </c>
      <c r="E104" s="7" t="n">
        <v>1</v>
      </c>
      <c r="F104" s="7">
        <f>A104&amp;B104&amp;"-"&amp;C104&amp;E104&amp;"-"&amp;D104</f>
        <v/>
      </c>
      <c r="G104" s="6" t="n"/>
      <c r="H104" s="47">
        <f>_xlfn.XLOOKUP(G104,'All Associates'!A:A,'All Associates'!B:B)</f>
        <v/>
      </c>
      <c r="I104" s="47">
        <f>_xlfn.XLOOKUP(G104,'All Associates'!A:A,'All Associates'!D:D)</f>
        <v/>
      </c>
      <c r="J104" s="11">
        <f>IF(G104&lt;&gt;"","Allocated","Available")</f>
        <v/>
      </c>
    </row>
    <row r="105">
      <c r="A105" s="6" t="inlineStr">
        <is>
          <t>R</t>
        </is>
      </c>
      <c r="B105" s="6" t="n">
        <v>4</v>
      </c>
      <c r="C105" s="6" t="inlineStr">
        <is>
          <t>H</t>
        </is>
      </c>
      <c r="D105" s="12" t="inlineStr">
        <is>
          <t>07</t>
        </is>
      </c>
      <c r="E105" s="7" t="n">
        <v>1</v>
      </c>
      <c r="F105" s="6">
        <f>A105&amp;B105&amp;"-"&amp;C105&amp;E105&amp;"-"&amp;D105</f>
        <v/>
      </c>
      <c r="G105" s="6" t="n">
        <v>937</v>
      </c>
      <c r="H105" s="47">
        <f>_xlfn.XLOOKUP(G105,'All Associates'!A:A,'All Associates'!B:B)</f>
        <v/>
      </c>
      <c r="I105" s="47">
        <f>_xlfn.XLOOKUP(G105,'All Associates'!A:A,'All Associates'!D:D)</f>
        <v/>
      </c>
      <c r="J105" s="11">
        <f>IF(G105&lt;&gt;"","Allocated","Available")</f>
        <v/>
      </c>
    </row>
    <row r="106">
      <c r="A106" s="6" t="inlineStr">
        <is>
          <t>R</t>
        </is>
      </c>
      <c r="B106" s="6" t="n">
        <v>4</v>
      </c>
      <c r="C106" s="6" t="inlineStr">
        <is>
          <t>H</t>
        </is>
      </c>
      <c r="D106" s="12" t="inlineStr">
        <is>
          <t>08</t>
        </is>
      </c>
      <c r="E106" s="7" t="n">
        <v>1</v>
      </c>
      <c r="F106" s="7">
        <f>A106&amp;B106&amp;"-"&amp;C106&amp;E106&amp;"-"&amp;D106</f>
        <v/>
      </c>
      <c r="G106" s="6" t="n">
        <v>656</v>
      </c>
      <c r="H106" s="47">
        <f>_xlfn.XLOOKUP(G106,'All Associates'!A:A,'All Associates'!B:B)</f>
        <v/>
      </c>
      <c r="I106" s="47">
        <f>_xlfn.XLOOKUP(G106,'All Associates'!A:A,'All Associates'!D:D)</f>
        <v/>
      </c>
      <c r="J106" s="11">
        <f>IF(G106&lt;&gt;"","Allocated","Available")</f>
        <v/>
      </c>
    </row>
    <row r="107">
      <c r="A107" s="6" t="inlineStr">
        <is>
          <t>R</t>
        </is>
      </c>
      <c r="B107" s="6" t="n">
        <v>4</v>
      </c>
      <c r="C107" s="6" t="inlineStr">
        <is>
          <t>H</t>
        </is>
      </c>
      <c r="D107" s="12" t="inlineStr">
        <is>
          <t>01</t>
        </is>
      </c>
      <c r="E107" s="7" t="n">
        <v>2</v>
      </c>
      <c r="F107" s="7">
        <f>A107&amp;B107&amp;"-"&amp;C107&amp;E107&amp;"-"&amp;D107</f>
        <v/>
      </c>
      <c r="G107" s="6" t="n">
        <v>931</v>
      </c>
      <c r="H107" s="47">
        <f>_xlfn.XLOOKUP(G107,'All Associates'!A:A,'All Associates'!B:B)</f>
        <v/>
      </c>
      <c r="I107" s="47">
        <f>_xlfn.XLOOKUP(G107,'All Associates'!A:A,'All Associates'!D:D)</f>
        <v/>
      </c>
      <c r="J107" s="11">
        <f>IF(G107&lt;&gt;"","Allocated","Available")</f>
        <v/>
      </c>
    </row>
    <row r="108">
      <c r="A108" s="6" t="inlineStr">
        <is>
          <t>R</t>
        </is>
      </c>
      <c r="B108" s="6" t="n">
        <v>4</v>
      </c>
      <c r="C108" s="6" t="inlineStr">
        <is>
          <t>H</t>
        </is>
      </c>
      <c r="D108" s="12" t="inlineStr">
        <is>
          <t>02</t>
        </is>
      </c>
      <c r="E108" s="7" t="n">
        <v>2</v>
      </c>
      <c r="F108" s="7">
        <f>A108&amp;B108&amp;"-"&amp;C108&amp;E108&amp;"-"&amp;D108</f>
        <v/>
      </c>
      <c r="G108" s="6" t="n">
        <v>817</v>
      </c>
      <c r="H108" s="47">
        <f>_xlfn.XLOOKUP(G108,'All Associates'!A:A,'All Associates'!B:B)</f>
        <v/>
      </c>
      <c r="I108" s="47">
        <f>_xlfn.XLOOKUP(G108,'All Associates'!A:A,'All Associates'!D:D)</f>
        <v/>
      </c>
      <c r="J108" s="11">
        <f>IF(G108&lt;&gt;"","Allocated","Available")</f>
        <v/>
      </c>
    </row>
    <row r="109">
      <c r="A109" s="6" t="inlineStr">
        <is>
          <t>R</t>
        </is>
      </c>
      <c r="B109" s="6" t="n">
        <v>4</v>
      </c>
      <c r="C109" s="6" t="inlineStr">
        <is>
          <t>H</t>
        </is>
      </c>
      <c r="D109" s="12" t="inlineStr">
        <is>
          <t>03</t>
        </is>
      </c>
      <c r="E109" s="7" t="n">
        <v>2</v>
      </c>
      <c r="F109" s="7">
        <f>A109&amp;B109&amp;"-"&amp;C109&amp;E109&amp;"-"&amp;D109</f>
        <v/>
      </c>
      <c r="G109" s="6" t="n">
        <v>530</v>
      </c>
      <c r="H109" s="47">
        <f>_xlfn.XLOOKUP(G109,'All Associates'!A:A,'All Associates'!B:B)</f>
        <v/>
      </c>
      <c r="I109" s="47">
        <f>_xlfn.XLOOKUP(G109,'All Associates'!A:A,'All Associates'!D:D)</f>
        <v/>
      </c>
      <c r="J109" s="11">
        <f>IF(G109&lt;&gt;"","Allocated","Available")</f>
        <v/>
      </c>
    </row>
    <row r="110">
      <c r="A110" s="6" t="inlineStr">
        <is>
          <t>R</t>
        </is>
      </c>
      <c r="B110" s="6" t="n">
        <v>4</v>
      </c>
      <c r="C110" s="6" t="inlineStr">
        <is>
          <t>H</t>
        </is>
      </c>
      <c r="D110" s="12" t="inlineStr">
        <is>
          <t>04</t>
        </is>
      </c>
      <c r="E110" s="7" t="n">
        <v>2</v>
      </c>
      <c r="F110" s="7">
        <f>A110&amp;B110&amp;"-"&amp;C110&amp;E110&amp;"-"&amp;D110</f>
        <v/>
      </c>
      <c r="G110" s="6" t="n">
        <v>782</v>
      </c>
      <c r="H110" s="47">
        <f>_xlfn.XLOOKUP(G110,'All Associates'!A:A,'All Associates'!B:B)</f>
        <v/>
      </c>
      <c r="I110" s="47">
        <f>_xlfn.XLOOKUP(G110,'All Associates'!A:A,'All Associates'!D:D)</f>
        <v/>
      </c>
      <c r="J110" s="11">
        <f>IF(G110&lt;&gt;"","Allocated","Available")</f>
        <v/>
      </c>
    </row>
    <row r="111">
      <c r="A111" s="6" t="inlineStr">
        <is>
          <t>R</t>
        </is>
      </c>
      <c r="B111" s="6" t="n">
        <v>4</v>
      </c>
      <c r="C111" s="6" t="inlineStr">
        <is>
          <t>H</t>
        </is>
      </c>
      <c r="D111" s="12" t="inlineStr">
        <is>
          <t>05</t>
        </is>
      </c>
      <c r="E111" s="7" t="n">
        <v>2</v>
      </c>
      <c r="F111" s="7">
        <f>A111&amp;B111&amp;"-"&amp;C111&amp;E111&amp;"-"&amp;D111</f>
        <v/>
      </c>
      <c r="G111" s="6" t="n"/>
      <c r="H111" s="47">
        <f>_xlfn.XLOOKUP(G111,'All Associates'!A:A,'All Associates'!B:B)</f>
        <v/>
      </c>
      <c r="I111" s="47">
        <f>_xlfn.XLOOKUP(G111,'All Associates'!A:A,'All Associates'!D:D)</f>
        <v/>
      </c>
      <c r="J111" s="11">
        <f>IF(G111&lt;&gt;"","Allocated","Available")</f>
        <v/>
      </c>
    </row>
    <row r="112">
      <c r="A112" s="6" t="inlineStr">
        <is>
          <t>R</t>
        </is>
      </c>
      <c r="B112" s="6" t="n">
        <v>4</v>
      </c>
      <c r="C112" s="6" t="inlineStr">
        <is>
          <t>H</t>
        </is>
      </c>
      <c r="D112" s="12" t="inlineStr">
        <is>
          <t>06</t>
        </is>
      </c>
      <c r="E112" s="7" t="n">
        <v>2</v>
      </c>
      <c r="F112" s="7">
        <f>A112&amp;B112&amp;"-"&amp;C112&amp;E112&amp;"-"&amp;D112</f>
        <v/>
      </c>
      <c r="G112" s="6" t="n">
        <v>757</v>
      </c>
      <c r="H112" s="47">
        <f>_xlfn.XLOOKUP(G112,'All Associates'!A:A,'All Associates'!B:B)</f>
        <v/>
      </c>
      <c r="I112" s="47">
        <f>_xlfn.XLOOKUP(G112,'All Associates'!A:A,'All Associates'!D:D)</f>
        <v/>
      </c>
      <c r="J112" s="11">
        <f>IF(G112&lt;&gt;"","Allocated","Available")</f>
        <v/>
      </c>
    </row>
    <row r="113">
      <c r="A113" s="6" t="inlineStr">
        <is>
          <t>R</t>
        </is>
      </c>
      <c r="B113" s="6" t="n">
        <v>4</v>
      </c>
      <c r="C113" s="6" t="inlineStr">
        <is>
          <t>H</t>
        </is>
      </c>
      <c r="D113" s="12" t="inlineStr">
        <is>
          <t>07</t>
        </is>
      </c>
      <c r="E113" s="7" t="n">
        <v>2</v>
      </c>
      <c r="F113" s="7">
        <f>A113&amp;B113&amp;"-"&amp;C113&amp;E113&amp;"-"&amp;D113</f>
        <v/>
      </c>
      <c r="G113" s="6" t="n"/>
      <c r="H113" s="47">
        <f>_xlfn.XLOOKUP(G113,'All Associates'!A:A,'All Associates'!B:B)</f>
        <v/>
      </c>
      <c r="I113" s="47">
        <f>_xlfn.XLOOKUP(G113,'All Associates'!A:A,'All Associates'!D:D)</f>
        <v/>
      </c>
      <c r="J113" s="11">
        <f>IF(G113&lt;&gt;"","Allocated","Available")</f>
        <v/>
      </c>
    </row>
    <row r="114">
      <c r="A114" s="6" t="inlineStr">
        <is>
          <t>R</t>
        </is>
      </c>
      <c r="B114" s="6" t="n">
        <v>4</v>
      </c>
      <c r="C114" s="6" t="inlineStr">
        <is>
          <t>H</t>
        </is>
      </c>
      <c r="D114" s="12" t="inlineStr">
        <is>
          <t>08</t>
        </is>
      </c>
      <c r="E114" s="7" t="n">
        <v>2</v>
      </c>
      <c r="F114" s="7">
        <f>A114&amp;B114&amp;"-"&amp;C114&amp;E114&amp;"-"&amp;D114</f>
        <v/>
      </c>
      <c r="G114" s="6" t="n"/>
      <c r="H114" s="47">
        <f>_xlfn.XLOOKUP(G114,'All Associates'!A:A,'All Associates'!B:B)</f>
        <v/>
      </c>
      <c r="I114" s="47">
        <f>_xlfn.XLOOKUP(G114,'All Associates'!A:A,'All Associates'!D:D)</f>
        <v/>
      </c>
      <c r="J114" s="11">
        <f>IF(G114&lt;&gt;"","Allocated","Available")</f>
        <v/>
      </c>
    </row>
    <row r="115">
      <c r="A115" s="6" t="inlineStr">
        <is>
          <t>R</t>
        </is>
      </c>
      <c r="B115" s="6" t="n">
        <v>4</v>
      </c>
      <c r="C115" s="6" t="inlineStr">
        <is>
          <t>H</t>
        </is>
      </c>
      <c r="D115" s="12" t="inlineStr">
        <is>
          <t>01</t>
        </is>
      </c>
      <c r="E115" s="7" t="n">
        <v>3</v>
      </c>
      <c r="F115" s="7">
        <f>A115&amp;B115&amp;"-"&amp;C115&amp;E115&amp;"-"&amp;D115</f>
        <v/>
      </c>
      <c r="G115" s="6" t="n"/>
      <c r="H115" s="47">
        <f>_xlfn.XLOOKUP(G115,'All Associates'!A:A,'All Associates'!B:B)</f>
        <v/>
      </c>
      <c r="I115" s="47">
        <f>_xlfn.XLOOKUP(G115,'All Associates'!A:A,'All Associates'!D:D)</f>
        <v/>
      </c>
      <c r="J115" s="11">
        <f>IF(G115&lt;&gt;"","Allocated","Available")</f>
        <v/>
      </c>
    </row>
    <row r="116">
      <c r="A116" s="6" t="inlineStr">
        <is>
          <t>R</t>
        </is>
      </c>
      <c r="B116" s="6" t="n">
        <v>4</v>
      </c>
      <c r="C116" s="6" t="inlineStr">
        <is>
          <t>H</t>
        </is>
      </c>
      <c r="D116" s="12" t="inlineStr">
        <is>
          <t>02</t>
        </is>
      </c>
      <c r="E116" s="7" t="n">
        <v>3</v>
      </c>
      <c r="F116" s="7">
        <f>A116&amp;B116&amp;"-"&amp;C116&amp;E116&amp;"-"&amp;D116</f>
        <v/>
      </c>
      <c r="G116" s="6" t="n"/>
      <c r="H116" s="47">
        <f>_xlfn.XLOOKUP(G116,'All Associates'!A:A,'All Associates'!B:B)</f>
        <v/>
      </c>
      <c r="I116" s="47">
        <f>_xlfn.XLOOKUP(G116,'All Associates'!A:A,'All Associates'!D:D)</f>
        <v/>
      </c>
      <c r="J116" s="11">
        <f>IF(G116&lt;&gt;"","Allocated","Available")</f>
        <v/>
      </c>
    </row>
    <row r="117">
      <c r="A117" s="6" t="inlineStr">
        <is>
          <t>R</t>
        </is>
      </c>
      <c r="B117" s="6" t="n">
        <v>4</v>
      </c>
      <c r="C117" s="6" t="inlineStr">
        <is>
          <t>H</t>
        </is>
      </c>
      <c r="D117" s="12" t="inlineStr">
        <is>
          <t>03</t>
        </is>
      </c>
      <c r="E117" s="7" t="n">
        <v>3</v>
      </c>
      <c r="F117" s="7">
        <f>A117&amp;B117&amp;"-"&amp;C117&amp;E117&amp;"-"&amp;D117</f>
        <v/>
      </c>
      <c r="G117" s="6" t="n"/>
      <c r="H117" s="47">
        <f>_xlfn.XLOOKUP(G117,'All Associates'!A:A,'All Associates'!B:B)</f>
        <v/>
      </c>
      <c r="I117" s="47">
        <f>_xlfn.XLOOKUP(G117,'All Associates'!A:A,'All Associates'!D:D)</f>
        <v/>
      </c>
      <c r="J117" s="11">
        <f>IF(G117&lt;&gt;"","Allocated","Available")</f>
        <v/>
      </c>
    </row>
    <row r="118">
      <c r="A118" s="6" t="inlineStr">
        <is>
          <t>R</t>
        </is>
      </c>
      <c r="B118" s="6" t="n">
        <v>4</v>
      </c>
      <c r="C118" s="6" t="inlineStr">
        <is>
          <t>H</t>
        </is>
      </c>
      <c r="D118" s="12" t="inlineStr">
        <is>
          <t>04</t>
        </is>
      </c>
      <c r="E118" s="7" t="n">
        <v>3</v>
      </c>
      <c r="F118" s="7">
        <f>A118&amp;B118&amp;"-"&amp;C118&amp;E118&amp;"-"&amp;D118</f>
        <v/>
      </c>
      <c r="G118" s="6" t="n"/>
      <c r="H118" s="47">
        <f>_xlfn.XLOOKUP(G118,'All Associates'!A:A,'All Associates'!B:B)</f>
        <v/>
      </c>
      <c r="I118" s="47">
        <f>_xlfn.XLOOKUP(G118,'All Associates'!A:A,'All Associates'!D:D)</f>
        <v/>
      </c>
      <c r="J118" s="11">
        <f>IF(G118&lt;&gt;"","Allocated","Available")</f>
        <v/>
      </c>
    </row>
    <row r="119">
      <c r="A119" s="6" t="inlineStr">
        <is>
          <t>R</t>
        </is>
      </c>
      <c r="B119" s="6" t="n">
        <v>4</v>
      </c>
      <c r="C119" s="6" t="inlineStr">
        <is>
          <t>H</t>
        </is>
      </c>
      <c r="D119" s="12" t="inlineStr">
        <is>
          <t>05</t>
        </is>
      </c>
      <c r="E119" s="7" t="n">
        <v>3</v>
      </c>
      <c r="F119" s="7">
        <f>A119&amp;B119&amp;"-"&amp;C119&amp;E119&amp;"-"&amp;D119</f>
        <v/>
      </c>
      <c r="G119" s="6" t="n"/>
      <c r="H119" s="47">
        <f>_xlfn.XLOOKUP(G119,'All Associates'!A:A,'All Associates'!B:B)</f>
        <v/>
      </c>
      <c r="I119" s="47">
        <f>_xlfn.XLOOKUP(G119,'All Associates'!A:A,'All Associates'!D:D)</f>
        <v/>
      </c>
      <c r="J119" s="11">
        <f>IF(G119&lt;&gt;"","Allocated","Available")</f>
        <v/>
      </c>
    </row>
    <row r="120">
      <c r="A120" s="6" t="inlineStr">
        <is>
          <t>R</t>
        </is>
      </c>
      <c r="B120" s="6" t="n">
        <v>4</v>
      </c>
      <c r="C120" s="6" t="inlineStr">
        <is>
          <t>H</t>
        </is>
      </c>
      <c r="D120" s="12" t="inlineStr">
        <is>
          <t>06</t>
        </is>
      </c>
      <c r="E120" s="7" t="n">
        <v>3</v>
      </c>
      <c r="F120" s="7">
        <f>A120&amp;B120&amp;"-"&amp;C120&amp;E120&amp;"-"&amp;D120</f>
        <v/>
      </c>
      <c r="G120" s="6" t="n"/>
      <c r="H120" s="47">
        <f>_xlfn.XLOOKUP(G120,'All Associates'!A:A,'All Associates'!B:B)</f>
        <v/>
      </c>
      <c r="I120" s="47">
        <f>_xlfn.XLOOKUP(G120,'All Associates'!A:A,'All Associates'!D:D)</f>
        <v/>
      </c>
      <c r="J120" s="11">
        <f>IF(G120&lt;&gt;"","Allocated","Available")</f>
        <v/>
      </c>
    </row>
    <row r="121">
      <c r="A121" s="6" t="inlineStr">
        <is>
          <t>R</t>
        </is>
      </c>
      <c r="B121" s="6" t="n">
        <v>4</v>
      </c>
      <c r="C121" s="6" t="inlineStr">
        <is>
          <t>H</t>
        </is>
      </c>
      <c r="D121" s="12" t="inlineStr">
        <is>
          <t>07</t>
        </is>
      </c>
      <c r="E121" s="7" t="n">
        <v>3</v>
      </c>
      <c r="F121" s="7">
        <f>A121&amp;B121&amp;"-"&amp;C121&amp;E121&amp;"-"&amp;D121</f>
        <v/>
      </c>
      <c r="G121" s="6" t="n"/>
      <c r="H121" s="47">
        <f>_xlfn.XLOOKUP(G121,'All Associates'!A:A,'All Associates'!B:B)</f>
        <v/>
      </c>
      <c r="I121" s="47">
        <f>_xlfn.XLOOKUP(G121,'All Associates'!A:A,'All Associates'!D:D)</f>
        <v/>
      </c>
      <c r="J121" s="11">
        <f>IF(G121&lt;&gt;"","Allocated","Available")</f>
        <v/>
      </c>
    </row>
    <row r="122">
      <c r="A122" s="6" t="inlineStr">
        <is>
          <t>R</t>
        </is>
      </c>
      <c r="B122" s="6" t="n">
        <v>4</v>
      </c>
      <c r="C122" s="6" t="inlineStr">
        <is>
          <t>H</t>
        </is>
      </c>
      <c r="D122" s="12" t="inlineStr">
        <is>
          <t>01</t>
        </is>
      </c>
      <c r="E122" s="7" t="n">
        <v>4</v>
      </c>
      <c r="F122" s="7">
        <f>A122&amp;B122&amp;"-"&amp;C122&amp;E122&amp;"-"&amp;D122</f>
        <v/>
      </c>
      <c r="G122" s="6" t="n"/>
      <c r="H122" s="47">
        <f>_xlfn.XLOOKUP(G122,'All Associates'!A:A,'All Associates'!B:B)</f>
        <v/>
      </c>
      <c r="I122" s="47">
        <f>_xlfn.XLOOKUP(G122,'All Associates'!A:A,'All Associates'!D:D)</f>
        <v/>
      </c>
      <c r="J122" s="11">
        <f>IF(G122&lt;&gt;"","Allocated","Available")</f>
        <v/>
      </c>
    </row>
    <row r="123">
      <c r="A123" s="6" t="inlineStr">
        <is>
          <t>R</t>
        </is>
      </c>
      <c r="B123" s="6" t="n">
        <v>4</v>
      </c>
      <c r="C123" s="6" t="inlineStr">
        <is>
          <t>H</t>
        </is>
      </c>
      <c r="D123" s="12" t="inlineStr">
        <is>
          <t>02</t>
        </is>
      </c>
      <c r="E123" s="7" t="n">
        <v>4</v>
      </c>
      <c r="F123" s="7">
        <f>A123&amp;B123&amp;"-"&amp;C123&amp;E123&amp;"-"&amp;D123</f>
        <v/>
      </c>
      <c r="G123" s="6" t="n"/>
      <c r="H123" s="47">
        <f>_xlfn.XLOOKUP(G123,'All Associates'!A:A,'All Associates'!B:B)</f>
        <v/>
      </c>
      <c r="I123" s="47">
        <f>_xlfn.XLOOKUP(G123,'All Associates'!A:A,'All Associates'!D:D)</f>
        <v/>
      </c>
      <c r="J123" s="11">
        <f>IF(G123&lt;&gt;"","Allocated","Available")</f>
        <v/>
      </c>
    </row>
    <row r="124">
      <c r="A124" s="6" t="inlineStr">
        <is>
          <t>R</t>
        </is>
      </c>
      <c r="B124" s="6" t="n">
        <v>4</v>
      </c>
      <c r="C124" s="6" t="inlineStr">
        <is>
          <t>H</t>
        </is>
      </c>
      <c r="D124" s="12" t="inlineStr">
        <is>
          <t>03</t>
        </is>
      </c>
      <c r="E124" s="7" t="n">
        <v>4</v>
      </c>
      <c r="F124" s="7">
        <f>A124&amp;B124&amp;"-"&amp;C124&amp;E124&amp;"-"&amp;D124</f>
        <v/>
      </c>
      <c r="G124" s="6" t="n"/>
      <c r="H124" s="47">
        <f>_xlfn.XLOOKUP(G124,'All Associates'!A:A,'All Associates'!B:B)</f>
        <v/>
      </c>
      <c r="I124" s="47">
        <f>_xlfn.XLOOKUP(G124,'All Associates'!A:A,'All Associates'!D:D)</f>
        <v/>
      </c>
      <c r="J124" s="11">
        <f>IF(G124&lt;&gt;"","Allocated","Available")</f>
        <v/>
      </c>
    </row>
    <row r="125">
      <c r="A125" s="6" t="inlineStr">
        <is>
          <t>R</t>
        </is>
      </c>
      <c r="B125" s="6" t="n">
        <v>4</v>
      </c>
      <c r="C125" s="6" t="inlineStr">
        <is>
          <t>H</t>
        </is>
      </c>
      <c r="D125" s="12" t="inlineStr">
        <is>
          <t>04</t>
        </is>
      </c>
      <c r="E125" s="7" t="n">
        <v>4</v>
      </c>
      <c r="F125" s="7">
        <f>A125&amp;B125&amp;"-"&amp;C125&amp;E125&amp;"-"&amp;D125</f>
        <v/>
      </c>
      <c r="G125" s="6" t="n"/>
      <c r="H125" s="47">
        <f>_xlfn.XLOOKUP(G125,'All Associates'!A:A,'All Associates'!B:B)</f>
        <v/>
      </c>
      <c r="I125" s="47">
        <f>_xlfn.XLOOKUP(G125,'All Associates'!A:A,'All Associates'!D:D)</f>
        <v/>
      </c>
      <c r="J125" s="11">
        <f>IF(G125&lt;&gt;"","Allocated","Available")</f>
        <v/>
      </c>
    </row>
    <row r="126">
      <c r="A126" s="6" t="inlineStr">
        <is>
          <t>R</t>
        </is>
      </c>
      <c r="B126" s="6" t="n">
        <v>4</v>
      </c>
      <c r="C126" s="6" t="inlineStr">
        <is>
          <t>H</t>
        </is>
      </c>
      <c r="D126" s="12" t="inlineStr">
        <is>
          <t>05</t>
        </is>
      </c>
      <c r="E126" s="7" t="n">
        <v>4</v>
      </c>
      <c r="F126" s="7">
        <f>A126&amp;B126&amp;"-"&amp;C126&amp;E126&amp;"-"&amp;D126</f>
        <v/>
      </c>
      <c r="G126" s="6" t="n"/>
      <c r="H126" s="47">
        <f>_xlfn.XLOOKUP(G126,'All Associates'!A:A,'All Associates'!B:B)</f>
        <v/>
      </c>
      <c r="I126" s="47">
        <f>_xlfn.XLOOKUP(G126,'All Associates'!A:A,'All Associates'!D:D)</f>
        <v/>
      </c>
      <c r="J126" s="11">
        <f>IF(G126&lt;&gt;"","Allocated","Available")</f>
        <v/>
      </c>
    </row>
    <row r="127">
      <c r="A127" s="6" t="inlineStr">
        <is>
          <t>R</t>
        </is>
      </c>
      <c r="B127" s="6" t="n">
        <v>4</v>
      </c>
      <c r="C127" s="6" t="inlineStr">
        <is>
          <t>H</t>
        </is>
      </c>
      <c r="D127" s="12" t="inlineStr">
        <is>
          <t>06</t>
        </is>
      </c>
      <c r="E127" s="7" t="n">
        <v>4</v>
      </c>
      <c r="F127" s="7">
        <f>A127&amp;B127&amp;"-"&amp;C127&amp;E127&amp;"-"&amp;D127</f>
        <v/>
      </c>
      <c r="G127" s="6" t="n"/>
      <c r="H127" s="47">
        <f>_xlfn.XLOOKUP(G127,'All Associates'!A:A,'All Associates'!B:B)</f>
        <v/>
      </c>
      <c r="I127" s="47">
        <f>_xlfn.XLOOKUP(G127,'All Associates'!A:A,'All Associates'!D:D)</f>
        <v/>
      </c>
      <c r="J127" s="11">
        <f>IF(G127&lt;&gt;"","Allocated","Available")</f>
        <v/>
      </c>
    </row>
    <row r="128">
      <c r="A128" s="6" t="inlineStr">
        <is>
          <t>R</t>
        </is>
      </c>
      <c r="B128" s="6" t="n">
        <v>4</v>
      </c>
      <c r="C128" s="6" t="inlineStr">
        <is>
          <t>H</t>
        </is>
      </c>
      <c r="D128" s="12" t="inlineStr">
        <is>
          <t>07</t>
        </is>
      </c>
      <c r="E128" s="7" t="n">
        <v>4</v>
      </c>
      <c r="F128" s="7">
        <f>A128&amp;B128&amp;"-"&amp;C128&amp;E128&amp;"-"&amp;D128</f>
        <v/>
      </c>
      <c r="G128" s="6" t="n"/>
      <c r="H128" s="47">
        <f>_xlfn.XLOOKUP(G128,'All Associates'!A:A,'All Associates'!B:B)</f>
        <v/>
      </c>
      <c r="I128" s="47">
        <f>_xlfn.XLOOKUP(G128,'All Associates'!A:A,'All Associates'!D:D)</f>
        <v/>
      </c>
      <c r="J128" s="11">
        <f>IF(G128&lt;&gt;"","Allocated","Available")</f>
        <v/>
      </c>
    </row>
    <row r="129">
      <c r="A129" s="6" t="inlineStr">
        <is>
          <t>R</t>
        </is>
      </c>
      <c r="B129" s="6" t="n">
        <v>4</v>
      </c>
      <c r="C129" s="6" t="inlineStr">
        <is>
          <t>H</t>
        </is>
      </c>
      <c r="D129" s="12" t="inlineStr">
        <is>
          <t>08</t>
        </is>
      </c>
      <c r="E129" s="7" t="n">
        <v>4</v>
      </c>
      <c r="F129" s="7">
        <f>A129&amp;B129&amp;"-"&amp;C129&amp;E129&amp;"-"&amp;D129</f>
        <v/>
      </c>
      <c r="G129" s="6" t="n"/>
      <c r="H129" s="47">
        <f>_xlfn.XLOOKUP(G129,'All Associates'!A:A,'All Associates'!B:B)</f>
        <v/>
      </c>
      <c r="I129" s="47">
        <f>_xlfn.XLOOKUP(G129,'All Associates'!A:A,'All Associates'!D:D)</f>
        <v/>
      </c>
      <c r="J129" s="11">
        <f>IF(G129&lt;&gt;"","Allocated","Available")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fY5cjDcPoiIEd1wqZ1I0EA==" formatRows="1" sort="0" spinCount="100000" hashValue="ZXzVDRhOqiEjcy/esx9Ex4dZ0f/e8gE0jMnGz0KIIBk36FfsOWvxT4fnS/Ya8JIIVSBL0OXfBF6t0FT/pL2NwA=="/>
  <autoFilter ref="A1:J129"/>
  <conditionalFormatting sqref="F1:F1048576">
    <cfRule type="duplicateValues" priority="1" dxfId="0"/>
  </conditionalFormatting>
  <conditionalFormatting sqref="G1">
    <cfRule type="duplicateValues" priority="5" dxfId="0"/>
  </conditionalFormatting>
  <conditionalFormatting sqref="G1:G1048576">
    <cfRule type="duplicateValues" priority="2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0" topLeftCell="A68" zoomScaleNormal="100" workbookViewId="0">
      <selection activeCell="M92" sqref="M92"/>
    </sheetView>
  </sheetViews>
  <sheetFormatPr baseColWidth="8" defaultColWidth="8.7109375" defaultRowHeight="15"/>
  <cols>
    <col width="9.28515625" customWidth="1" style="1" min="1" max="1"/>
    <col width="10.28515625" customWidth="1" style="1" min="2" max="2"/>
    <col width="10.42578125" customWidth="1" style="1" min="3" max="3"/>
    <col width="14.140625" customWidth="1" style="1" min="4" max="4"/>
    <col width="11.42578125" customWidth="1" style="1" min="5" max="5"/>
    <col width="18.42578125" customWidth="1" style="1" min="6" max="6"/>
    <col width="15.28515625" customWidth="1" style="1" min="7" max="7"/>
    <col width="36.28515625" customWidth="1" style="18" min="8" max="8"/>
    <col width="26" bestFit="1" customWidth="1" style="18" min="9" max="9"/>
    <col width="16" customWidth="1" min="10" max="10"/>
    <col width="13" customWidth="1" min="13" max="13"/>
  </cols>
  <sheetData>
    <row r="1" ht="56.1" customFormat="1" customHeight="1" s="2">
      <c r="A1" s="43" t="inlineStr">
        <is>
          <t>Building</t>
        </is>
      </c>
      <c r="B1" s="43" t="inlineStr">
        <is>
          <t>Floor</t>
        </is>
      </c>
      <c r="C1" s="43" t="inlineStr">
        <is>
          <t>Area</t>
        </is>
      </c>
      <c r="D1" s="43" t="inlineStr">
        <is>
          <t>Desk Number</t>
        </is>
      </c>
      <c r="E1" s="43" t="inlineStr">
        <is>
          <t>Row</t>
        </is>
      </c>
      <c r="F1" s="43" t="inlineStr">
        <is>
          <t xml:space="preserve">Desk number </t>
        </is>
      </c>
      <c r="G1" s="10" t="inlineStr">
        <is>
          <t>Associate Staff ID - INPUT</t>
        </is>
      </c>
      <c r="H1" s="43" t="inlineStr">
        <is>
          <t>Associate Name</t>
        </is>
      </c>
      <c r="I1" s="43" t="inlineStr">
        <is>
          <t>1st line Supervisor</t>
        </is>
      </c>
      <c r="J1" s="43" t="inlineStr">
        <is>
          <t>Desk Status</t>
        </is>
      </c>
      <c r="M1" s="57" t="inlineStr">
        <is>
          <t>Floor Plan</t>
        </is>
      </c>
    </row>
    <row r="2">
      <c r="A2" s="6" t="inlineStr">
        <is>
          <t>R</t>
        </is>
      </c>
      <c r="B2" s="6" t="n">
        <v>5</v>
      </c>
      <c r="C2" s="7" t="inlineStr">
        <is>
          <t>E</t>
        </is>
      </c>
      <c r="D2" s="12" t="inlineStr">
        <is>
          <t>01</t>
        </is>
      </c>
      <c r="E2" s="7" t="n">
        <v>1</v>
      </c>
      <c r="F2" s="7">
        <f>A2&amp;B2&amp;"-"&amp;C2&amp;E2&amp;"-"&amp;D2</f>
        <v/>
      </c>
      <c r="G2" s="6" t="n">
        <v>427</v>
      </c>
      <c r="H2" s="47">
        <f>_xlfn.XLOOKUP(G2,'All Associates'!A:A,'All Associates'!B:B)</f>
        <v/>
      </c>
      <c r="I2" s="47">
        <f>_xlfn.XLOOKUP(G2,'All Associates'!A:A,'All Associates'!D:D)</f>
        <v/>
      </c>
      <c r="J2" s="11">
        <f>IF(G2&lt;&gt;"","Allocated","Available")</f>
        <v/>
      </c>
    </row>
    <row r="3">
      <c r="A3" s="6" t="inlineStr">
        <is>
          <t>R</t>
        </is>
      </c>
      <c r="B3" s="6" t="n">
        <v>5</v>
      </c>
      <c r="C3" s="7" t="inlineStr">
        <is>
          <t>E</t>
        </is>
      </c>
      <c r="D3" s="12" t="inlineStr">
        <is>
          <t>02</t>
        </is>
      </c>
      <c r="E3" s="7" t="n">
        <v>1</v>
      </c>
      <c r="F3" s="7">
        <f>A3&amp;B3&amp;"-"&amp;C3&amp;E3&amp;"-"&amp;D3</f>
        <v/>
      </c>
      <c r="G3" s="6" t="n">
        <v>1073</v>
      </c>
      <c r="H3" s="47">
        <f>_xlfn.XLOOKUP(G3,'All Associates'!A:A,'All Associates'!B:B)</f>
        <v/>
      </c>
      <c r="I3" s="47">
        <f>_xlfn.XLOOKUP(G3,'All Associates'!A:A,'All Associates'!D:D)</f>
        <v/>
      </c>
      <c r="J3" s="11">
        <f>IF(G3&lt;&gt;"","Allocated","Available")</f>
        <v/>
      </c>
    </row>
    <row r="4">
      <c r="A4" s="6" t="inlineStr">
        <is>
          <t>R</t>
        </is>
      </c>
      <c r="B4" s="6" t="n">
        <v>5</v>
      </c>
      <c r="C4" s="7" t="inlineStr">
        <is>
          <t>E</t>
        </is>
      </c>
      <c r="D4" s="12" t="inlineStr">
        <is>
          <t>03</t>
        </is>
      </c>
      <c r="E4" s="7" t="n">
        <v>1</v>
      </c>
      <c r="F4" s="7">
        <f>A4&amp;B4&amp;"-"&amp;C4&amp;E4&amp;"-"&amp;D4</f>
        <v/>
      </c>
      <c r="G4" s="6" t="n">
        <v>1022</v>
      </c>
      <c r="H4" s="47">
        <f>_xlfn.XLOOKUP(G4,'All Associates'!A:A,'All Associates'!B:B)</f>
        <v/>
      </c>
      <c r="I4" s="47">
        <f>_xlfn.XLOOKUP(G4,'All Associates'!A:A,'All Associates'!D:D)</f>
        <v/>
      </c>
      <c r="J4" s="11">
        <f>IF(G4&lt;&gt;"","Allocated","Available")</f>
        <v/>
      </c>
    </row>
    <row r="5">
      <c r="A5" s="6" t="inlineStr">
        <is>
          <t>R</t>
        </is>
      </c>
      <c r="B5" s="6" t="n">
        <v>5</v>
      </c>
      <c r="C5" s="7" t="inlineStr">
        <is>
          <t>E</t>
        </is>
      </c>
      <c r="D5" s="12" t="inlineStr">
        <is>
          <t>04</t>
        </is>
      </c>
      <c r="E5" s="7" t="n">
        <v>1</v>
      </c>
      <c r="F5" s="7">
        <f>A5&amp;B5&amp;"-"&amp;C5&amp;E5&amp;"-"&amp;D5</f>
        <v/>
      </c>
      <c r="G5" s="6" t="n">
        <v>1089</v>
      </c>
      <c r="H5" s="47">
        <f>_xlfn.XLOOKUP(G5,'All Associates'!A:A,'All Associates'!B:B)</f>
        <v/>
      </c>
      <c r="I5" s="47">
        <f>_xlfn.XLOOKUP(G5,'All Associates'!A:A,'All Associates'!D:D)</f>
        <v/>
      </c>
      <c r="J5" s="11">
        <f>IF(G5&lt;&gt;"","Allocated","Available")</f>
        <v/>
      </c>
    </row>
    <row r="6">
      <c r="A6" s="6" t="inlineStr">
        <is>
          <t>R</t>
        </is>
      </c>
      <c r="B6" s="6" t="n">
        <v>5</v>
      </c>
      <c r="C6" s="7" t="inlineStr">
        <is>
          <t>E</t>
        </is>
      </c>
      <c r="D6" s="12" t="inlineStr">
        <is>
          <t>05</t>
        </is>
      </c>
      <c r="E6" s="7" t="n">
        <v>1</v>
      </c>
      <c r="F6" s="7">
        <f>A6&amp;B6&amp;"-"&amp;C6&amp;E6&amp;"-"&amp;D6</f>
        <v/>
      </c>
      <c r="G6" s="6" t="n"/>
      <c r="H6" s="47">
        <f>_xlfn.XLOOKUP(G6,'All Associates'!A:A,'All Associates'!B:B)</f>
        <v/>
      </c>
      <c r="I6" s="47">
        <f>_xlfn.XLOOKUP(G6,'All Associates'!A:A,'All Associates'!D:D)</f>
        <v/>
      </c>
      <c r="J6" s="11">
        <f>IF(G6&lt;&gt;"","Allocated","Available")</f>
        <v/>
      </c>
    </row>
    <row r="7">
      <c r="A7" s="6" t="inlineStr">
        <is>
          <t>R</t>
        </is>
      </c>
      <c r="B7" s="6" t="n">
        <v>5</v>
      </c>
      <c r="C7" s="7" t="inlineStr">
        <is>
          <t>E</t>
        </is>
      </c>
      <c r="D7" s="12" t="inlineStr">
        <is>
          <t>01</t>
        </is>
      </c>
      <c r="E7" s="7" t="n">
        <v>2</v>
      </c>
      <c r="F7" s="7">
        <f>A7&amp;B7&amp;"-"&amp;C7&amp;E7&amp;"-"&amp;D7</f>
        <v/>
      </c>
      <c r="G7" s="6" t="n">
        <v>518</v>
      </c>
      <c r="H7" s="47">
        <f>_xlfn.XLOOKUP(G7,'All Associates'!A:A,'All Associates'!B:B)</f>
        <v/>
      </c>
      <c r="I7" s="47">
        <f>_xlfn.XLOOKUP(G7,'All Associates'!A:A,'All Associates'!D:D)</f>
        <v/>
      </c>
      <c r="J7" s="11">
        <f>IF(G7&lt;&gt;"","Allocated","Available")</f>
        <v/>
      </c>
    </row>
    <row r="8">
      <c r="A8" s="6" t="inlineStr">
        <is>
          <t>R</t>
        </is>
      </c>
      <c r="B8" s="6" t="n">
        <v>5</v>
      </c>
      <c r="C8" s="7" t="inlineStr">
        <is>
          <t>E</t>
        </is>
      </c>
      <c r="D8" s="12" t="inlineStr">
        <is>
          <t>02</t>
        </is>
      </c>
      <c r="E8" s="7" t="n">
        <v>2</v>
      </c>
      <c r="F8" s="7">
        <f>A8&amp;B8&amp;"-"&amp;C8&amp;E8&amp;"-"&amp;D8</f>
        <v/>
      </c>
      <c r="G8" s="6" t="n">
        <v>710</v>
      </c>
      <c r="H8" s="58">
        <f>_xlfn.XLOOKUP(G8,'All Associates'!A:A,'All Associates'!B:B)</f>
        <v/>
      </c>
      <c r="I8" s="47">
        <f>_xlfn.XLOOKUP(G8,'All Associates'!A:A,'All Associates'!D:D)</f>
        <v/>
      </c>
      <c r="J8" s="11">
        <f>IF(G8&lt;&gt;"","Allocated","Available")</f>
        <v/>
      </c>
    </row>
    <row r="9">
      <c r="A9" s="6" t="inlineStr">
        <is>
          <t>R</t>
        </is>
      </c>
      <c r="B9" s="6" t="n">
        <v>5</v>
      </c>
      <c r="C9" s="7" t="inlineStr">
        <is>
          <t>E</t>
        </is>
      </c>
      <c r="D9" s="12" t="inlineStr">
        <is>
          <t>03</t>
        </is>
      </c>
      <c r="E9" s="7" t="n">
        <v>2</v>
      </c>
      <c r="F9" s="7">
        <f>A9&amp;B9&amp;"-"&amp;C9&amp;E9&amp;"-"&amp;D9</f>
        <v/>
      </c>
      <c r="G9" s="6" t="n">
        <v>1044</v>
      </c>
      <c r="H9" s="47">
        <f>_xlfn.XLOOKUP(G9,'All Associates'!A:A,'All Associates'!B:B)</f>
        <v/>
      </c>
      <c r="I9" s="47">
        <f>_xlfn.XLOOKUP(G9,'All Associates'!A:A,'All Associates'!D:D)</f>
        <v/>
      </c>
      <c r="J9" s="11">
        <f>IF(G9&lt;&gt;"","Allocated","Available")</f>
        <v/>
      </c>
    </row>
    <row r="10">
      <c r="A10" s="6" t="inlineStr">
        <is>
          <t>R</t>
        </is>
      </c>
      <c r="B10" s="6" t="n">
        <v>5</v>
      </c>
      <c r="C10" s="7" t="inlineStr">
        <is>
          <t>E</t>
        </is>
      </c>
      <c r="D10" s="12" t="inlineStr">
        <is>
          <t>04</t>
        </is>
      </c>
      <c r="E10" s="7" t="n">
        <v>2</v>
      </c>
      <c r="F10" s="7">
        <f>A10&amp;B10&amp;"-"&amp;C10&amp;E10&amp;"-"&amp;D10</f>
        <v/>
      </c>
      <c r="G10" s="6" t="n">
        <v>980</v>
      </c>
      <c r="H10" s="47">
        <f>_xlfn.XLOOKUP(G10,'All Associates'!A:A,'All Associates'!B:B)</f>
        <v/>
      </c>
      <c r="I10" s="47">
        <f>_xlfn.XLOOKUP(G10,'All Associates'!A:A,'All Associates'!D:D)</f>
        <v/>
      </c>
      <c r="J10" s="11">
        <f>IF(G10&lt;&gt;"","Allocated","Available")</f>
        <v/>
      </c>
    </row>
    <row r="11">
      <c r="A11" s="6" t="inlineStr">
        <is>
          <t>R</t>
        </is>
      </c>
      <c r="B11" s="6" t="n">
        <v>5</v>
      </c>
      <c r="C11" s="7" t="inlineStr">
        <is>
          <t>E</t>
        </is>
      </c>
      <c r="D11" s="12" t="inlineStr">
        <is>
          <t>05</t>
        </is>
      </c>
      <c r="E11" s="7" t="n">
        <v>2</v>
      </c>
      <c r="F11" s="7">
        <f>A11&amp;B11&amp;"-"&amp;C11&amp;E11&amp;"-"&amp;D11</f>
        <v/>
      </c>
      <c r="G11" s="6" t="n">
        <v>1180</v>
      </c>
      <c r="H11" s="47">
        <f>_xlfn.XLOOKUP(G11,'All Associates'!A:A,'All Associates'!B:B)</f>
        <v/>
      </c>
      <c r="I11" s="47">
        <f>_xlfn.XLOOKUP(G11,'All Associates'!A:A,'All Associates'!D:D)</f>
        <v/>
      </c>
      <c r="J11" s="11">
        <f>IF(G11&lt;&gt;"","Allocated","Available")</f>
        <v/>
      </c>
    </row>
    <row r="12">
      <c r="A12" s="6" t="inlineStr">
        <is>
          <t>R</t>
        </is>
      </c>
      <c r="B12" s="6" t="n">
        <v>5</v>
      </c>
      <c r="C12" s="7" t="inlineStr">
        <is>
          <t>E</t>
        </is>
      </c>
      <c r="D12" s="12" t="inlineStr">
        <is>
          <t>06</t>
        </is>
      </c>
      <c r="E12" s="7" t="n">
        <v>2</v>
      </c>
      <c r="F12" s="7">
        <f>A12&amp;B12&amp;"-"&amp;C12&amp;E12&amp;"-"&amp;D12</f>
        <v/>
      </c>
      <c r="G12" s="6" t="n">
        <v>965</v>
      </c>
      <c r="H12" s="47">
        <f>_xlfn.XLOOKUP(G12,'All Associates'!A:A,'All Associates'!B:B)</f>
        <v/>
      </c>
      <c r="I12" s="47">
        <f>_xlfn.XLOOKUP(G12,'All Associates'!A:A,'All Associates'!D:D)</f>
        <v/>
      </c>
      <c r="J12" s="11">
        <f>IF(G12&lt;&gt;"","Allocated","Available")</f>
        <v/>
      </c>
    </row>
    <row r="13">
      <c r="A13" s="6" t="inlineStr">
        <is>
          <t>R</t>
        </is>
      </c>
      <c r="B13" s="6" t="n">
        <v>5</v>
      </c>
      <c r="C13" s="7" t="inlineStr">
        <is>
          <t>E</t>
        </is>
      </c>
      <c r="D13" s="12" t="inlineStr">
        <is>
          <t>07</t>
        </is>
      </c>
      <c r="E13" s="7" t="n">
        <v>2</v>
      </c>
      <c r="F13" s="7">
        <f>A13&amp;B13&amp;"-"&amp;C13&amp;E13&amp;"-"&amp;D13</f>
        <v/>
      </c>
      <c r="G13" s="6" t="n"/>
      <c r="H13" s="47">
        <f>_xlfn.XLOOKUP(G13,'All Associates'!A:A,'All Associates'!B:B)</f>
        <v/>
      </c>
      <c r="I13" s="47">
        <f>_xlfn.XLOOKUP(G13,'All Associates'!A:A,'All Associates'!D:D)</f>
        <v/>
      </c>
      <c r="J13" s="11">
        <f>IF(G13&lt;&gt;"","Allocated","Available")</f>
        <v/>
      </c>
    </row>
    <row r="14">
      <c r="A14" s="6" t="inlineStr">
        <is>
          <t>R</t>
        </is>
      </c>
      <c r="B14" s="6" t="n">
        <v>5</v>
      </c>
      <c r="C14" s="7" t="inlineStr">
        <is>
          <t>E</t>
        </is>
      </c>
      <c r="D14" s="12" t="inlineStr">
        <is>
          <t>01</t>
        </is>
      </c>
      <c r="E14" s="7" t="n">
        <v>3</v>
      </c>
      <c r="F14" s="7">
        <f>A14&amp;B14&amp;"-"&amp;C14&amp;E14&amp;"-"&amp;D14</f>
        <v/>
      </c>
      <c r="G14" s="6" t="n">
        <v>640</v>
      </c>
      <c r="H14" s="47">
        <f>_xlfn.XLOOKUP(G14,'All Associates'!A:A,'All Associates'!B:B)</f>
        <v/>
      </c>
      <c r="I14" s="47">
        <f>_xlfn.XLOOKUP(G14,'All Associates'!A:A,'All Associates'!D:D)</f>
        <v/>
      </c>
      <c r="J14" s="11">
        <f>IF(G14&lt;&gt;"","Allocated","Available")</f>
        <v/>
      </c>
    </row>
    <row r="15">
      <c r="A15" s="6" t="inlineStr">
        <is>
          <t>R</t>
        </is>
      </c>
      <c r="B15" s="6" t="n">
        <v>5</v>
      </c>
      <c r="C15" s="7" t="inlineStr">
        <is>
          <t>E</t>
        </is>
      </c>
      <c r="D15" s="12" t="inlineStr">
        <is>
          <t>02</t>
        </is>
      </c>
      <c r="E15" s="7" t="n">
        <v>3</v>
      </c>
      <c r="F15" s="7">
        <f>A15&amp;B15&amp;"-"&amp;C15&amp;E15&amp;"-"&amp;D15</f>
        <v/>
      </c>
      <c r="G15" s="6" t="n">
        <v>1117</v>
      </c>
      <c r="H15" s="47">
        <f>_xlfn.XLOOKUP(G15,'All Associates'!A:A,'All Associates'!B:B)</f>
        <v/>
      </c>
      <c r="I15" s="47">
        <f>_xlfn.XLOOKUP(G15,'All Associates'!A:A,'All Associates'!D:D)</f>
        <v/>
      </c>
      <c r="J15" s="11">
        <f>IF(G15&lt;&gt;"","Allocated","Available")</f>
        <v/>
      </c>
    </row>
    <row r="16">
      <c r="A16" s="6" t="inlineStr">
        <is>
          <t>R</t>
        </is>
      </c>
      <c r="B16" s="6" t="n">
        <v>5</v>
      </c>
      <c r="C16" s="7" t="inlineStr">
        <is>
          <t>E</t>
        </is>
      </c>
      <c r="D16" s="12" t="inlineStr">
        <is>
          <t>03</t>
        </is>
      </c>
      <c r="E16" s="6" t="n">
        <v>3</v>
      </c>
      <c r="F16" s="7">
        <f>A16&amp;B16&amp;"-"&amp;C16&amp;E16&amp;"-"&amp;D16</f>
        <v/>
      </c>
      <c r="G16" s="6" t="n">
        <v>620</v>
      </c>
      <c r="H16" s="47">
        <f>_xlfn.XLOOKUP(G16,'All Associates'!A:A,'All Associates'!B:B)</f>
        <v/>
      </c>
      <c r="I16" s="47">
        <f>_xlfn.XLOOKUP(G16,'All Associates'!A:A,'All Associates'!D:D)</f>
        <v/>
      </c>
      <c r="J16" s="11">
        <f>IF(G16&lt;&gt;"","Allocated","Available")</f>
        <v/>
      </c>
    </row>
    <row r="17">
      <c r="A17" s="6" t="inlineStr">
        <is>
          <t>R</t>
        </is>
      </c>
      <c r="B17" s="6" t="n">
        <v>5</v>
      </c>
      <c r="C17" s="7" t="inlineStr">
        <is>
          <t>E</t>
        </is>
      </c>
      <c r="D17" s="12" t="inlineStr">
        <is>
          <t>04</t>
        </is>
      </c>
      <c r="E17" s="7" t="n">
        <v>3</v>
      </c>
      <c r="F17" s="6">
        <f>A17&amp;B17&amp;"-"&amp;C17&amp;E17&amp;"-"&amp;D17</f>
        <v/>
      </c>
      <c r="G17" s="6" t="n">
        <v>1078</v>
      </c>
      <c r="H17" s="47">
        <f>_xlfn.XLOOKUP(G17,'All Associates'!A:A,'All Associates'!B:B)</f>
        <v/>
      </c>
      <c r="I17" s="47">
        <f>_xlfn.XLOOKUP(G17,'All Associates'!A:A,'All Associates'!D:D)</f>
        <v/>
      </c>
      <c r="J17" s="11">
        <f>IF(G17&lt;&gt;"","Allocated","Available")</f>
        <v/>
      </c>
    </row>
    <row r="18">
      <c r="A18" s="6" t="inlineStr">
        <is>
          <t>R</t>
        </is>
      </c>
      <c r="B18" s="6" t="n">
        <v>5</v>
      </c>
      <c r="C18" s="7" t="inlineStr">
        <is>
          <t>E</t>
        </is>
      </c>
      <c r="D18" s="12" t="inlineStr">
        <is>
          <t>05</t>
        </is>
      </c>
      <c r="E18" s="7" t="n">
        <v>3</v>
      </c>
      <c r="F18" s="7">
        <f>A18&amp;B18&amp;"-"&amp;C18&amp;E18&amp;"-"&amp;D18</f>
        <v/>
      </c>
      <c r="G18" s="6" t="n">
        <v>707</v>
      </c>
      <c r="H18" s="47">
        <f>_xlfn.XLOOKUP(G18,'All Associates'!A:A,'All Associates'!B:B)</f>
        <v/>
      </c>
      <c r="I18" s="47">
        <f>_xlfn.XLOOKUP(G18,'All Associates'!A:A,'All Associates'!D:D)</f>
        <v/>
      </c>
      <c r="J18" s="11">
        <f>IF(G18&lt;&gt;"","Allocated","Available")</f>
        <v/>
      </c>
    </row>
    <row r="19">
      <c r="A19" s="6" t="inlineStr">
        <is>
          <t>R</t>
        </is>
      </c>
      <c r="B19" s="6" t="n">
        <v>5</v>
      </c>
      <c r="C19" s="7" t="inlineStr">
        <is>
          <t>E</t>
        </is>
      </c>
      <c r="D19" s="12" t="inlineStr">
        <is>
          <t>06</t>
        </is>
      </c>
      <c r="E19" s="7" t="n">
        <v>3</v>
      </c>
      <c r="F19" s="7">
        <f>A19&amp;B19&amp;"-"&amp;C19&amp;E19&amp;"-"&amp;D19</f>
        <v/>
      </c>
      <c r="G19" s="6" t="n">
        <v>1074</v>
      </c>
      <c r="H19" s="47">
        <f>_xlfn.XLOOKUP(G19,'All Associates'!A:A,'All Associates'!B:B)</f>
        <v/>
      </c>
      <c r="I19" s="47">
        <f>_xlfn.XLOOKUP(G19,'All Associates'!A:A,'All Associates'!D:D)</f>
        <v/>
      </c>
      <c r="J19" s="11">
        <f>IF(G19&lt;&gt;"","Allocated","Available")</f>
        <v/>
      </c>
    </row>
    <row r="20">
      <c r="A20" s="6" t="inlineStr">
        <is>
          <t>R</t>
        </is>
      </c>
      <c r="B20" s="6" t="n">
        <v>5</v>
      </c>
      <c r="C20" s="7" t="inlineStr">
        <is>
          <t>E</t>
        </is>
      </c>
      <c r="D20" s="12" t="inlineStr">
        <is>
          <t>07</t>
        </is>
      </c>
      <c r="E20" s="7" t="n">
        <v>3</v>
      </c>
      <c r="F20" s="7">
        <f>A20&amp;B20&amp;"-"&amp;C20&amp;E20&amp;"-"&amp;D20</f>
        <v/>
      </c>
      <c r="G20" s="6" t="n"/>
      <c r="H20" s="47">
        <f>_xlfn.XLOOKUP(G20,'All Associates'!A:A,'All Associates'!B:B)</f>
        <v/>
      </c>
      <c r="I20" s="47">
        <f>_xlfn.XLOOKUP(G20,'All Associates'!A:A,'All Associates'!D:D)</f>
        <v/>
      </c>
      <c r="J20" s="11">
        <f>IF(G20&lt;&gt;"","Allocated","Available")</f>
        <v/>
      </c>
    </row>
    <row r="21">
      <c r="A21" s="6" t="inlineStr">
        <is>
          <t>R</t>
        </is>
      </c>
      <c r="B21" s="6" t="n">
        <v>5</v>
      </c>
      <c r="C21" s="7" t="inlineStr">
        <is>
          <t>E</t>
        </is>
      </c>
      <c r="D21" s="12" t="inlineStr">
        <is>
          <t>08</t>
        </is>
      </c>
      <c r="E21" s="7" t="n">
        <v>3</v>
      </c>
      <c r="F21" s="7">
        <f>A21&amp;B21&amp;"-"&amp;C21&amp;E21&amp;"-"&amp;D21</f>
        <v/>
      </c>
      <c r="G21" s="6" t="n"/>
      <c r="H21" s="47">
        <f>_xlfn.XLOOKUP(G21,'All Associates'!A:A,'All Associates'!B:B)</f>
        <v/>
      </c>
      <c r="I21" s="47">
        <f>_xlfn.XLOOKUP(G21,'All Associates'!A:A,'All Associates'!D:D)</f>
        <v/>
      </c>
      <c r="J21" s="11">
        <f>IF(G21&lt;&gt;"","Allocated","Available")</f>
        <v/>
      </c>
    </row>
    <row r="22">
      <c r="A22" s="6" t="inlineStr">
        <is>
          <t>R</t>
        </is>
      </c>
      <c r="B22" s="6" t="n">
        <v>5</v>
      </c>
      <c r="C22" s="7" t="inlineStr">
        <is>
          <t>E</t>
        </is>
      </c>
      <c r="D22" s="12" t="inlineStr">
        <is>
          <t>01</t>
        </is>
      </c>
      <c r="E22" s="7" t="n">
        <v>4</v>
      </c>
      <c r="F22" s="7">
        <f>A22&amp;B22&amp;"-"&amp;C22&amp;E22&amp;"-"&amp;D22</f>
        <v/>
      </c>
      <c r="G22" s="6" t="n">
        <v>1067</v>
      </c>
      <c r="H22" s="47">
        <f>_xlfn.XLOOKUP(G22,'All Associates'!A:A,'All Associates'!B:B)</f>
        <v/>
      </c>
      <c r="I22" s="47">
        <f>_xlfn.XLOOKUP(G22,'All Associates'!A:A,'All Associates'!D:D)</f>
        <v/>
      </c>
      <c r="J22" s="11">
        <f>IF(G22&lt;&gt;"","Allocated","Available")</f>
        <v/>
      </c>
    </row>
    <row r="23">
      <c r="A23" s="6" t="inlineStr">
        <is>
          <t>R</t>
        </is>
      </c>
      <c r="B23" s="6" t="n">
        <v>5</v>
      </c>
      <c r="C23" s="7" t="inlineStr">
        <is>
          <t>E</t>
        </is>
      </c>
      <c r="D23" s="12" t="inlineStr">
        <is>
          <t>02</t>
        </is>
      </c>
      <c r="E23" s="7" t="n">
        <v>4</v>
      </c>
      <c r="F23" s="7">
        <f>A23&amp;B23&amp;"-"&amp;C23&amp;E23&amp;"-"&amp;D23</f>
        <v/>
      </c>
      <c r="G23" s="6" t="n">
        <v>520</v>
      </c>
      <c r="H23" s="47">
        <f>_xlfn.XLOOKUP(G23,'All Associates'!A:A,'All Associates'!B:B)</f>
        <v/>
      </c>
      <c r="I23" s="47">
        <f>_xlfn.XLOOKUP(G23,'All Associates'!A:A,'All Associates'!D:D)</f>
        <v/>
      </c>
      <c r="J23" s="11">
        <f>IF(G23&lt;&gt;"","Allocated","Available")</f>
        <v/>
      </c>
    </row>
    <row r="24">
      <c r="A24" s="6" t="inlineStr">
        <is>
          <t>R</t>
        </is>
      </c>
      <c r="B24" s="6" t="n">
        <v>5</v>
      </c>
      <c r="C24" s="7" t="inlineStr">
        <is>
          <t>E</t>
        </is>
      </c>
      <c r="D24" s="12" t="inlineStr">
        <is>
          <t>03</t>
        </is>
      </c>
      <c r="E24" s="7" t="n">
        <v>4</v>
      </c>
      <c r="F24" s="7">
        <f>A24&amp;B24&amp;"-"&amp;C24&amp;E24&amp;"-"&amp;D24</f>
        <v/>
      </c>
      <c r="G24" s="6" t="n">
        <v>1068</v>
      </c>
      <c r="H24" s="47">
        <f>_xlfn.XLOOKUP(G24,'All Associates'!A:A,'All Associates'!B:B)</f>
        <v/>
      </c>
      <c r="I24" s="47">
        <f>_xlfn.XLOOKUP(G24,'All Associates'!A:A,'All Associates'!D:D)</f>
        <v/>
      </c>
      <c r="J24" s="11">
        <f>IF(G24&lt;&gt;"","Allocated","Available")</f>
        <v/>
      </c>
    </row>
    <row r="25">
      <c r="A25" s="6" t="inlineStr">
        <is>
          <t>R</t>
        </is>
      </c>
      <c r="B25" s="6" t="n">
        <v>5</v>
      </c>
      <c r="C25" s="7" t="inlineStr">
        <is>
          <t>E</t>
        </is>
      </c>
      <c r="D25" s="12" t="inlineStr">
        <is>
          <t>04</t>
        </is>
      </c>
      <c r="E25" s="7" t="n">
        <v>4</v>
      </c>
      <c r="F25" s="7">
        <f>A25&amp;B25&amp;"-"&amp;C25&amp;E25&amp;"-"&amp;D25</f>
        <v/>
      </c>
      <c r="G25" s="6" t="n">
        <v>1097</v>
      </c>
      <c r="H25" s="47">
        <f>_xlfn.XLOOKUP(G25,'All Associates'!A:A,'All Associates'!B:B)</f>
        <v/>
      </c>
      <c r="I25" s="47">
        <f>_xlfn.XLOOKUP(G25,'All Associates'!A:A,'All Associates'!D:D)</f>
        <v/>
      </c>
      <c r="J25" s="11">
        <f>IF(G25&lt;&gt;"","Allocated","Available")</f>
        <v/>
      </c>
    </row>
    <row r="26">
      <c r="A26" s="6" t="inlineStr">
        <is>
          <t>R</t>
        </is>
      </c>
      <c r="B26" s="6" t="n">
        <v>5</v>
      </c>
      <c r="C26" s="7" t="inlineStr">
        <is>
          <t>E</t>
        </is>
      </c>
      <c r="D26" s="12" t="inlineStr">
        <is>
          <t>05</t>
        </is>
      </c>
      <c r="E26" s="7" t="n">
        <v>4</v>
      </c>
      <c r="F26" s="7">
        <f>A26&amp;B26&amp;"-"&amp;C26&amp;E26&amp;"-"&amp;D26</f>
        <v/>
      </c>
      <c r="G26" s="6" t="n">
        <v>1156</v>
      </c>
      <c r="H26" s="47">
        <f>_xlfn.XLOOKUP(G26,'All Associates'!A:A,'All Associates'!B:B)</f>
        <v/>
      </c>
      <c r="I26" s="47">
        <f>_xlfn.XLOOKUP(G26,'All Associates'!A:A,'All Associates'!D:D)</f>
        <v/>
      </c>
      <c r="J26" s="11">
        <f>IF(G26&lt;&gt;"","Allocated","Available")</f>
        <v/>
      </c>
    </row>
    <row r="27">
      <c r="A27" s="6" t="inlineStr">
        <is>
          <t>R</t>
        </is>
      </c>
      <c r="B27" s="6" t="n">
        <v>5</v>
      </c>
      <c r="C27" s="7" t="inlineStr">
        <is>
          <t>E</t>
        </is>
      </c>
      <c r="D27" s="12" t="inlineStr">
        <is>
          <t>06</t>
        </is>
      </c>
      <c r="E27" s="7" t="n">
        <v>4</v>
      </c>
      <c r="F27" s="7">
        <f>A27&amp;B27&amp;"-"&amp;C27&amp;E27&amp;"-"&amp;D27</f>
        <v/>
      </c>
      <c r="G27" s="6" t="n">
        <v>1081</v>
      </c>
      <c r="H27" s="47">
        <f>_xlfn.XLOOKUP(G27,'All Associates'!A:A,'All Associates'!B:B)</f>
        <v/>
      </c>
      <c r="I27" s="47">
        <f>_xlfn.XLOOKUP(G27,'All Associates'!A:A,'All Associates'!D:D)</f>
        <v/>
      </c>
      <c r="J27" s="11">
        <f>IF(G27&lt;&gt;"","Allocated","Available")</f>
        <v/>
      </c>
    </row>
    <row r="28">
      <c r="A28" s="6" t="inlineStr">
        <is>
          <t>R</t>
        </is>
      </c>
      <c r="B28" s="6" t="n">
        <v>5</v>
      </c>
      <c r="C28" s="7" t="inlineStr">
        <is>
          <t>F</t>
        </is>
      </c>
      <c r="D28" s="12" t="inlineStr">
        <is>
          <t>01</t>
        </is>
      </c>
      <c r="E28" s="7" t="n">
        <v>1</v>
      </c>
      <c r="F28" s="7">
        <f>A28&amp;B28&amp;"-"&amp;C28&amp;E28&amp;"-"&amp;D28</f>
        <v/>
      </c>
      <c r="G28" s="6" t="inlineStr">
        <is>
          <t>HW</t>
        </is>
      </c>
      <c r="H28" s="47" t="n"/>
      <c r="I28" s="47" t="n"/>
      <c r="J28" s="11" t="inlineStr">
        <is>
          <t>HW</t>
        </is>
      </c>
    </row>
    <row r="29">
      <c r="A29" s="6" t="inlineStr">
        <is>
          <t>R</t>
        </is>
      </c>
      <c r="B29" s="6" t="n">
        <v>5</v>
      </c>
      <c r="C29" s="7" t="inlineStr">
        <is>
          <t>F</t>
        </is>
      </c>
      <c r="D29" s="12" t="inlineStr">
        <is>
          <t>02</t>
        </is>
      </c>
      <c r="E29" s="7" t="n">
        <v>1</v>
      </c>
      <c r="F29" s="7">
        <f>A29&amp;B29&amp;"-"&amp;C29&amp;E29&amp;"-"&amp;D29</f>
        <v/>
      </c>
      <c r="G29" s="6" t="n">
        <v>2047</v>
      </c>
      <c r="H29" s="47">
        <f>_xlfn.XLOOKUP(G29,'All Associates'!A:A,'All Associates'!B:B)</f>
        <v/>
      </c>
      <c r="I29" s="47">
        <f>_xlfn.XLOOKUP(G29,'All Associates'!A:A,'All Associates'!D:D)</f>
        <v/>
      </c>
      <c r="J29" s="11">
        <f>IF(G29&lt;&gt;"","Allocated","Available")</f>
        <v/>
      </c>
    </row>
    <row r="30">
      <c r="A30" s="6" t="inlineStr">
        <is>
          <t>R</t>
        </is>
      </c>
      <c r="B30" s="6" t="n">
        <v>5</v>
      </c>
      <c r="C30" s="7" t="inlineStr">
        <is>
          <t>F</t>
        </is>
      </c>
      <c r="D30" s="12" t="inlineStr">
        <is>
          <t>03</t>
        </is>
      </c>
      <c r="E30" s="7" t="n">
        <v>1</v>
      </c>
      <c r="F30" s="7">
        <f>A30&amp;B30&amp;"-"&amp;C30&amp;E30&amp;"-"&amp;D30</f>
        <v/>
      </c>
      <c r="G30" s="6" t="n">
        <v>2058</v>
      </c>
      <c r="H30" s="47">
        <f>_xlfn.XLOOKUP(G30,'All Associates'!A:A,'All Associates'!B:B)</f>
        <v/>
      </c>
      <c r="I30" s="47">
        <f>_xlfn.XLOOKUP(G30,'All Associates'!A:A,'All Associates'!D:D)</f>
        <v/>
      </c>
      <c r="J30" s="11">
        <f>IF(G30&lt;&gt;"","Allocated","Available")</f>
        <v/>
      </c>
    </row>
    <row r="31">
      <c r="A31" s="6" t="inlineStr">
        <is>
          <t>R</t>
        </is>
      </c>
      <c r="B31" s="6" t="n">
        <v>5</v>
      </c>
      <c r="C31" s="7" t="inlineStr">
        <is>
          <t>F</t>
        </is>
      </c>
      <c r="D31" s="12" t="inlineStr">
        <is>
          <t>01</t>
        </is>
      </c>
      <c r="E31" s="7" t="n">
        <v>2</v>
      </c>
      <c r="F31" s="7">
        <f>A31&amp;B31&amp;"-"&amp;C31&amp;E31&amp;"-"&amp;D31</f>
        <v/>
      </c>
      <c r="G31" s="6" t="n">
        <v>624</v>
      </c>
      <c r="H31" s="47">
        <f>_xlfn.XLOOKUP(G31,'All Associates'!A:A,'All Associates'!B:B)</f>
        <v/>
      </c>
      <c r="I31" s="47">
        <f>_xlfn.XLOOKUP(G31,'All Associates'!A:A,'All Associates'!D:D)</f>
        <v/>
      </c>
      <c r="J31" s="11">
        <f>IF(G31&lt;&gt;"","Allocated","Available")</f>
        <v/>
      </c>
    </row>
    <row r="32">
      <c r="A32" s="6" t="inlineStr">
        <is>
          <t>R</t>
        </is>
      </c>
      <c r="B32" s="6" t="n">
        <v>5</v>
      </c>
      <c r="C32" s="7" t="inlineStr">
        <is>
          <t>F</t>
        </is>
      </c>
      <c r="D32" s="12" t="inlineStr">
        <is>
          <t>02</t>
        </is>
      </c>
      <c r="E32" s="7" t="n">
        <v>2</v>
      </c>
      <c r="F32" s="7">
        <f>A32&amp;B32&amp;"-"&amp;C32&amp;E32&amp;"-"&amp;D32</f>
        <v/>
      </c>
      <c r="G32" s="6" t="n">
        <v>414</v>
      </c>
      <c r="H32" s="47">
        <f>_xlfn.XLOOKUP(G32,'All Associates'!A:A,'All Associates'!B:B)</f>
        <v/>
      </c>
      <c r="I32" s="47">
        <f>_xlfn.XLOOKUP(G32,'All Associates'!A:A,'All Associates'!D:D)</f>
        <v/>
      </c>
      <c r="J32" s="11">
        <f>IF(G32&lt;&gt;"","Allocated","Available")</f>
        <v/>
      </c>
    </row>
    <row r="33">
      <c r="A33" s="6" t="inlineStr">
        <is>
          <t>R</t>
        </is>
      </c>
      <c r="B33" s="6" t="n">
        <v>5</v>
      </c>
      <c r="C33" s="7" t="inlineStr">
        <is>
          <t>F</t>
        </is>
      </c>
      <c r="D33" s="12" t="inlineStr">
        <is>
          <t>03</t>
        </is>
      </c>
      <c r="E33" s="7" t="n">
        <v>2</v>
      </c>
      <c r="F33" s="7">
        <f>A33&amp;B33&amp;"-"&amp;C33&amp;E33&amp;"-"&amp;D33</f>
        <v/>
      </c>
      <c r="G33" s="6" t="n">
        <v>550</v>
      </c>
      <c r="H33" s="47">
        <f>_xlfn.XLOOKUP(G33,'All Associates'!A:A,'All Associates'!B:B)</f>
        <v/>
      </c>
      <c r="I33" s="47">
        <f>_xlfn.XLOOKUP(G33,'All Associates'!A:A,'All Associates'!D:D)</f>
        <v/>
      </c>
      <c r="J33" s="11">
        <f>IF(G33&lt;&gt;"","Allocated","Available")</f>
        <v/>
      </c>
    </row>
    <row r="34">
      <c r="A34" s="6" t="inlineStr">
        <is>
          <t>R</t>
        </is>
      </c>
      <c r="B34" s="6" t="n">
        <v>5</v>
      </c>
      <c r="C34" s="7" t="inlineStr">
        <is>
          <t>F</t>
        </is>
      </c>
      <c r="D34" s="12" t="inlineStr">
        <is>
          <t>04</t>
        </is>
      </c>
      <c r="E34" s="7" t="n">
        <v>2</v>
      </c>
      <c r="F34" s="7">
        <f>A34&amp;B34&amp;"-"&amp;C34&amp;E34&amp;"-"&amp;D34</f>
        <v/>
      </c>
      <c r="G34" s="6" t="n">
        <v>1210</v>
      </c>
      <c r="H34" s="47">
        <f>_xlfn.XLOOKUP(G34,'All Associates'!A:A,'All Associates'!B:B)</f>
        <v/>
      </c>
      <c r="I34" s="47">
        <f>_xlfn.XLOOKUP(G34,'All Associates'!A:A,'All Associates'!D:D)</f>
        <v/>
      </c>
      <c r="J34" s="11">
        <f>IF(G34&lt;&gt;"","Allocated","Available")</f>
        <v/>
      </c>
    </row>
    <row r="35">
      <c r="A35" s="6" t="inlineStr">
        <is>
          <t>R</t>
        </is>
      </c>
      <c r="B35" s="6" t="n">
        <v>5</v>
      </c>
      <c r="C35" s="7" t="inlineStr">
        <is>
          <t>F</t>
        </is>
      </c>
      <c r="D35" s="12" t="inlineStr">
        <is>
          <t>05</t>
        </is>
      </c>
      <c r="E35" s="7" t="n">
        <v>2</v>
      </c>
      <c r="F35" s="7">
        <f>A35&amp;B35&amp;"-"&amp;C35&amp;E35&amp;"-"&amp;D35</f>
        <v/>
      </c>
      <c r="G35" s="6" t="n">
        <v>716</v>
      </c>
      <c r="H35" s="47">
        <f>_xlfn.XLOOKUP(G35,'All Associates'!A:A,'All Associates'!B:B)</f>
        <v/>
      </c>
      <c r="I35" s="47">
        <f>_xlfn.XLOOKUP(G35,'All Associates'!A:A,'All Associates'!D:D)</f>
        <v/>
      </c>
      <c r="J35" s="11">
        <f>IF(G35&lt;&gt;"","Allocated","Available")</f>
        <v/>
      </c>
    </row>
    <row r="36">
      <c r="A36" s="6" t="inlineStr">
        <is>
          <t>R</t>
        </is>
      </c>
      <c r="B36" s="6" t="n">
        <v>5</v>
      </c>
      <c r="C36" s="7" t="inlineStr">
        <is>
          <t>F</t>
        </is>
      </c>
      <c r="D36" s="12" t="inlineStr">
        <is>
          <t>06</t>
        </is>
      </c>
      <c r="E36" s="7" t="n">
        <v>2</v>
      </c>
      <c r="F36" s="7">
        <f>A36&amp;B36&amp;"-"&amp;C36&amp;E36&amp;"-"&amp;D36</f>
        <v/>
      </c>
      <c r="G36" s="6" t="n">
        <v>1036</v>
      </c>
      <c r="H36" s="47">
        <f>_xlfn.XLOOKUP(G36,'All Associates'!A:A,'All Associates'!B:B)</f>
        <v/>
      </c>
      <c r="I36" s="47">
        <f>_xlfn.XLOOKUP(G36,'All Associates'!A:A,'All Associates'!D:D)</f>
        <v/>
      </c>
      <c r="J36" s="11">
        <f>IF(G36&lt;&gt;"","Allocated","Available")</f>
        <v/>
      </c>
    </row>
    <row r="37">
      <c r="A37" s="6" t="inlineStr">
        <is>
          <t>R</t>
        </is>
      </c>
      <c r="B37" s="6" t="n">
        <v>5</v>
      </c>
      <c r="C37" s="7" t="inlineStr">
        <is>
          <t>F</t>
        </is>
      </c>
      <c r="D37" s="12" t="inlineStr">
        <is>
          <t>07</t>
        </is>
      </c>
      <c r="E37" s="7" t="n">
        <v>2</v>
      </c>
      <c r="F37" s="7">
        <f>A37&amp;B37&amp;"-"&amp;C37&amp;E37&amp;"-"&amp;D37</f>
        <v/>
      </c>
      <c r="G37" s="6" t="n">
        <v>405</v>
      </c>
      <c r="H37" s="47">
        <f>_xlfn.XLOOKUP(G37,'All Associates'!A:A,'All Associates'!B:B)</f>
        <v/>
      </c>
      <c r="I37" s="47">
        <f>_xlfn.XLOOKUP(G37,'All Associates'!A:A,'All Associates'!D:D)</f>
        <v/>
      </c>
      <c r="J37" s="11">
        <f>IF(G37&lt;&gt;"","Allocated","Available")</f>
        <v/>
      </c>
    </row>
    <row r="38">
      <c r="A38" s="6" t="inlineStr">
        <is>
          <t>R</t>
        </is>
      </c>
      <c r="B38" s="6" t="n">
        <v>5</v>
      </c>
      <c r="C38" s="7" t="inlineStr">
        <is>
          <t>F</t>
        </is>
      </c>
      <c r="D38" s="12" t="inlineStr">
        <is>
          <t>08</t>
        </is>
      </c>
      <c r="E38" s="7" t="n">
        <v>2</v>
      </c>
      <c r="F38" s="7">
        <f>A38&amp;B38&amp;"-"&amp;C38&amp;E38&amp;"-"&amp;D38</f>
        <v/>
      </c>
      <c r="G38" s="6" t="n">
        <v>363</v>
      </c>
      <c r="H38" s="47">
        <f>_xlfn.XLOOKUP(G38,'All Associates'!A:A,'All Associates'!B:B)</f>
        <v/>
      </c>
      <c r="I38" s="47">
        <f>_xlfn.XLOOKUP(G38,'All Associates'!A:A,'All Associates'!D:D)</f>
        <v/>
      </c>
      <c r="J38" s="11">
        <f>IF(G38&lt;&gt;"","Allocated","Available")</f>
        <v/>
      </c>
    </row>
    <row r="39">
      <c r="A39" s="6" t="inlineStr">
        <is>
          <t>R</t>
        </is>
      </c>
      <c r="B39" s="6" t="n">
        <v>5</v>
      </c>
      <c r="C39" s="7" t="inlineStr">
        <is>
          <t>F</t>
        </is>
      </c>
      <c r="D39" s="12" t="inlineStr">
        <is>
          <t>01</t>
        </is>
      </c>
      <c r="E39" s="7" t="n">
        <v>3</v>
      </c>
      <c r="F39" s="7">
        <f>A39&amp;B39&amp;"-"&amp;C39&amp;E39&amp;"-"&amp;D39</f>
        <v/>
      </c>
      <c r="G39" s="6" t="n">
        <v>815</v>
      </c>
      <c r="H39" s="47">
        <f>_xlfn.XLOOKUP(G39,'All Associates'!A:A,'All Associates'!B:B)</f>
        <v/>
      </c>
      <c r="I39" s="47">
        <f>_xlfn.XLOOKUP(G39,'All Associates'!A:A,'All Associates'!D:D)</f>
        <v/>
      </c>
      <c r="J39" s="11">
        <f>IF(G39&lt;&gt;"","Allocated","Available")</f>
        <v/>
      </c>
    </row>
    <row r="40">
      <c r="A40" s="6" t="inlineStr">
        <is>
          <t>R</t>
        </is>
      </c>
      <c r="B40" s="6" t="n">
        <v>5</v>
      </c>
      <c r="C40" s="7" t="inlineStr">
        <is>
          <t>F</t>
        </is>
      </c>
      <c r="D40" s="12" t="inlineStr">
        <is>
          <t>02</t>
        </is>
      </c>
      <c r="E40" s="7" t="n">
        <v>3</v>
      </c>
      <c r="F40" s="7">
        <f>A40&amp;B40&amp;"-"&amp;C40&amp;E40&amp;"-"&amp;D40</f>
        <v/>
      </c>
      <c r="G40" s="6" t="n">
        <v>1181</v>
      </c>
      <c r="H40" s="47">
        <f>_xlfn.XLOOKUP(G40,'All Associates'!A:A,'All Associates'!B:B)</f>
        <v/>
      </c>
      <c r="I40" s="47" t="inlineStr">
        <is>
          <t>Boghean Andra</t>
        </is>
      </c>
      <c r="J40" s="11">
        <f>IF(G40&lt;&gt;"","Allocated","Available")</f>
        <v/>
      </c>
    </row>
    <row r="41">
      <c r="A41" s="6" t="inlineStr">
        <is>
          <t>R</t>
        </is>
      </c>
      <c r="B41" s="6" t="n">
        <v>5</v>
      </c>
      <c r="C41" s="7" t="inlineStr">
        <is>
          <t>F</t>
        </is>
      </c>
      <c r="D41" s="12" t="inlineStr">
        <is>
          <t>03</t>
        </is>
      </c>
      <c r="E41" s="7" t="n">
        <v>3</v>
      </c>
      <c r="F41" s="7">
        <f>A41&amp;B41&amp;"-"&amp;C41&amp;E41&amp;"-"&amp;D41</f>
        <v/>
      </c>
      <c r="G41" s="6" t="n">
        <v>246</v>
      </c>
      <c r="H41" s="47">
        <f>_xlfn.XLOOKUP(G41,'All Associates'!A:A,'All Associates'!B:B)</f>
        <v/>
      </c>
      <c r="I41" s="47">
        <f>_xlfn.XLOOKUP(G41,'All Associates'!A:A,'All Associates'!D:D)</f>
        <v/>
      </c>
      <c r="J41" s="11">
        <f>IF(G41&lt;&gt;"","Allocated","Available")</f>
        <v/>
      </c>
    </row>
    <row r="42">
      <c r="A42" s="6" t="inlineStr">
        <is>
          <t>R</t>
        </is>
      </c>
      <c r="B42" s="6" t="n">
        <v>5</v>
      </c>
      <c r="C42" s="7" t="inlineStr">
        <is>
          <t>F</t>
        </is>
      </c>
      <c r="D42" s="12" t="inlineStr">
        <is>
          <t>04</t>
        </is>
      </c>
      <c r="E42" s="7" t="n">
        <v>3</v>
      </c>
      <c r="F42" s="7">
        <f>A42&amp;B42&amp;"-"&amp;C42&amp;E42&amp;"-"&amp;D42</f>
        <v/>
      </c>
      <c r="G42" s="6" t="n">
        <v>922</v>
      </c>
      <c r="H42" s="47">
        <f>_xlfn.XLOOKUP(G42,'All Associates'!A:A,'All Associates'!B:B)</f>
        <v/>
      </c>
      <c r="I42" s="58">
        <f>_xlfn.XLOOKUP(G42,'All Associates'!A:A,'All Associates'!D:D)</f>
        <v/>
      </c>
      <c r="J42" s="11">
        <f>IF(G42&lt;&gt;"","Allocated","Available")</f>
        <v/>
      </c>
    </row>
    <row r="43">
      <c r="A43" s="6" t="inlineStr">
        <is>
          <t>R</t>
        </is>
      </c>
      <c r="B43" s="6" t="n">
        <v>5</v>
      </c>
      <c r="C43" s="7" t="inlineStr">
        <is>
          <t>F</t>
        </is>
      </c>
      <c r="D43" s="12" t="inlineStr">
        <is>
          <t>05</t>
        </is>
      </c>
      <c r="E43" s="7" t="n">
        <v>3</v>
      </c>
      <c r="F43" s="7">
        <f>A43&amp;B43&amp;"-"&amp;C43&amp;E43&amp;"-"&amp;D43</f>
        <v/>
      </c>
      <c r="G43" s="6" t="n">
        <v>2038</v>
      </c>
      <c r="H43" s="47">
        <f>_xlfn.XLOOKUP(G43,'All Associates'!A:A,'All Associates'!B:B)</f>
        <v/>
      </c>
      <c r="I43" s="58">
        <f>_xlfn.XLOOKUP(G43,'All Associates'!A:A,'All Associates'!D:D)</f>
        <v/>
      </c>
      <c r="J43" s="11">
        <f>IF(G43&lt;&gt;"","Allocated","Available")</f>
        <v/>
      </c>
    </row>
    <row r="44">
      <c r="A44" s="6" t="inlineStr">
        <is>
          <t>R</t>
        </is>
      </c>
      <c r="B44" s="6" t="n">
        <v>5</v>
      </c>
      <c r="C44" s="7" t="inlineStr">
        <is>
          <t>F</t>
        </is>
      </c>
      <c r="D44" s="12" t="inlineStr">
        <is>
          <t>06</t>
        </is>
      </c>
      <c r="E44" s="7" t="n">
        <v>3</v>
      </c>
      <c r="F44" s="7">
        <f>A44&amp;B44&amp;"-"&amp;C44&amp;E44&amp;"-"&amp;D44</f>
        <v/>
      </c>
      <c r="G44" s="6" t="n">
        <v>998</v>
      </c>
      <c r="H44" s="47">
        <f>_xlfn.XLOOKUP(G44,'All Associates'!A:A,'All Associates'!B:B)</f>
        <v/>
      </c>
      <c r="I44" s="58">
        <f>_xlfn.XLOOKUP(G44,'All Associates'!A:A,'All Associates'!D:D)</f>
        <v/>
      </c>
      <c r="J44" s="11">
        <f>IF(G44&lt;&gt;"","Allocated","Available")</f>
        <v/>
      </c>
    </row>
    <row r="45">
      <c r="A45" s="6" t="inlineStr">
        <is>
          <t>R</t>
        </is>
      </c>
      <c r="B45" s="6" t="n">
        <v>5</v>
      </c>
      <c r="C45" s="7" t="inlineStr">
        <is>
          <t>F</t>
        </is>
      </c>
      <c r="D45" s="12" t="inlineStr">
        <is>
          <t>07</t>
        </is>
      </c>
      <c r="E45" s="7" t="n">
        <v>3</v>
      </c>
      <c r="F45" s="7">
        <f>A45&amp;B45&amp;"-"&amp;C45&amp;E45&amp;"-"&amp;D45</f>
        <v/>
      </c>
      <c r="G45" s="6" t="n"/>
      <c r="H45" s="47">
        <f>_xlfn.XLOOKUP(G45,'All Associates'!A:A,'All Associates'!B:B)</f>
        <v/>
      </c>
      <c r="I45" s="58">
        <f>_xlfn.XLOOKUP(G45,'All Associates'!A:A,'All Associates'!D:D)</f>
        <v/>
      </c>
      <c r="J45" s="11">
        <f>IF(G45&lt;&gt;"","Allocated","Available")</f>
        <v/>
      </c>
    </row>
    <row r="46">
      <c r="A46" s="6" t="inlineStr">
        <is>
          <t>R</t>
        </is>
      </c>
      <c r="B46" s="6" t="n">
        <v>5</v>
      </c>
      <c r="C46" s="7" t="inlineStr">
        <is>
          <t>F</t>
        </is>
      </c>
      <c r="D46" s="12" t="inlineStr">
        <is>
          <t>08</t>
        </is>
      </c>
      <c r="E46" s="7" t="n">
        <v>3</v>
      </c>
      <c r="F46" s="7">
        <f>A46&amp;B46&amp;"-"&amp;C46&amp;E46&amp;"-"&amp;D46</f>
        <v/>
      </c>
      <c r="G46" s="6" t="n"/>
      <c r="H46" s="47">
        <f>_xlfn.XLOOKUP(G46,'All Associates'!A:A,'All Associates'!B:B)</f>
        <v/>
      </c>
      <c r="I46" s="58">
        <f>_xlfn.XLOOKUP(G46,'All Associates'!A:A,'All Associates'!D:D)</f>
        <v/>
      </c>
      <c r="J46" s="11">
        <f>IF(G46&lt;&gt;"","Allocated","Available")</f>
        <v/>
      </c>
    </row>
    <row r="47">
      <c r="A47" s="6" t="inlineStr">
        <is>
          <t>R</t>
        </is>
      </c>
      <c r="B47" s="6" t="n">
        <v>5</v>
      </c>
      <c r="C47" s="7" t="inlineStr">
        <is>
          <t>F</t>
        </is>
      </c>
      <c r="D47" s="12" t="inlineStr">
        <is>
          <t>01</t>
        </is>
      </c>
      <c r="E47" s="7" t="n">
        <v>4</v>
      </c>
      <c r="F47" s="7">
        <f>A47&amp;B47&amp;"-"&amp;C47&amp;E47&amp;"-"&amp;D47</f>
        <v/>
      </c>
      <c r="G47" s="6" t="n"/>
      <c r="H47" s="47">
        <f>_xlfn.XLOOKUP(G47,'All Associates'!A:A,'All Associates'!B:B)</f>
        <v/>
      </c>
      <c r="I47" s="58">
        <f>_xlfn.XLOOKUP(G47,'All Associates'!A:A,'All Associates'!D:D)</f>
        <v/>
      </c>
      <c r="J47" s="11">
        <f>IF(G47&lt;&gt;"","Allocated","Available")</f>
        <v/>
      </c>
    </row>
    <row r="48">
      <c r="A48" s="6" t="inlineStr">
        <is>
          <t>R</t>
        </is>
      </c>
      <c r="B48" s="6" t="n">
        <v>5</v>
      </c>
      <c r="C48" s="7" t="inlineStr">
        <is>
          <t>F</t>
        </is>
      </c>
      <c r="D48" s="12" t="inlineStr">
        <is>
          <t>02</t>
        </is>
      </c>
      <c r="E48" s="7" t="n">
        <v>4</v>
      </c>
      <c r="F48" s="7">
        <f>A48&amp;B48&amp;"-"&amp;C48&amp;E48&amp;"-"&amp;D48</f>
        <v/>
      </c>
      <c r="G48" s="6" t="n"/>
      <c r="H48" s="47">
        <f>_xlfn.XLOOKUP(G48,'All Associates'!A:A,'All Associates'!B:B)</f>
        <v/>
      </c>
      <c r="I48" s="58">
        <f>_xlfn.XLOOKUP(G48,'All Associates'!A:A,'All Associates'!D:D)</f>
        <v/>
      </c>
      <c r="J48" s="11">
        <f>IF(G48&lt;&gt;"","Allocated","Available")</f>
        <v/>
      </c>
    </row>
    <row r="49">
      <c r="A49" s="6" t="inlineStr">
        <is>
          <t>R</t>
        </is>
      </c>
      <c r="B49" s="6" t="n">
        <v>5</v>
      </c>
      <c r="C49" s="7" t="inlineStr">
        <is>
          <t>F</t>
        </is>
      </c>
      <c r="D49" s="12" t="inlineStr">
        <is>
          <t>03</t>
        </is>
      </c>
      <c r="E49" s="7" t="n">
        <v>4</v>
      </c>
      <c r="F49" s="7">
        <f>A49&amp;B49&amp;"-"&amp;C49&amp;E49&amp;"-"&amp;D49</f>
        <v/>
      </c>
      <c r="G49" s="6" t="n"/>
      <c r="H49" s="47">
        <f>_xlfn.XLOOKUP(G49,'All Associates'!A:A,'All Associates'!B:B)</f>
        <v/>
      </c>
      <c r="I49" s="58">
        <f>_xlfn.XLOOKUP(G49,'All Associates'!A:A,'All Associates'!D:D)</f>
        <v/>
      </c>
      <c r="J49" s="11">
        <f>IF(G49&lt;&gt;"","Allocated","Available")</f>
        <v/>
      </c>
    </row>
    <row r="50">
      <c r="A50" s="6" t="inlineStr">
        <is>
          <t>R</t>
        </is>
      </c>
      <c r="B50" s="6" t="n">
        <v>5</v>
      </c>
      <c r="C50" s="7" t="inlineStr">
        <is>
          <t>F</t>
        </is>
      </c>
      <c r="D50" s="12" t="inlineStr">
        <is>
          <t>04</t>
        </is>
      </c>
      <c r="E50" s="7" t="n">
        <v>4</v>
      </c>
      <c r="F50" s="7">
        <f>A50&amp;B50&amp;"-"&amp;C50&amp;E50&amp;"-"&amp;D50</f>
        <v/>
      </c>
      <c r="G50" s="6" t="n">
        <v>2020</v>
      </c>
      <c r="H50" s="47">
        <f>_xlfn.XLOOKUP(G50,'All Associates'!A:A,'All Associates'!B:B)</f>
        <v/>
      </c>
      <c r="I50" s="58">
        <f>_xlfn.XLOOKUP(G50,'All Associates'!A:A,'All Associates'!D:D)</f>
        <v/>
      </c>
      <c r="J50" s="11">
        <f>IF(G50&lt;&gt;"","Allocated","Available")</f>
        <v/>
      </c>
    </row>
    <row r="51">
      <c r="A51" s="6" t="inlineStr">
        <is>
          <t>R</t>
        </is>
      </c>
      <c r="B51" s="6" t="n">
        <v>5</v>
      </c>
      <c r="C51" s="7" t="inlineStr">
        <is>
          <t>F</t>
        </is>
      </c>
      <c r="D51" s="12" t="inlineStr">
        <is>
          <t>05</t>
        </is>
      </c>
      <c r="E51" s="7" t="n">
        <v>5</v>
      </c>
      <c r="F51" s="7">
        <f>A51&amp;B51&amp;"-"&amp;C51&amp;E51&amp;"-"&amp;D51</f>
        <v/>
      </c>
      <c r="G51" s="6" t="n">
        <v>968</v>
      </c>
      <c r="H51" s="47">
        <f>_xlfn.XLOOKUP(G51,'All Associates'!A:A,'All Associates'!B:B)</f>
        <v/>
      </c>
      <c r="I51" s="58">
        <f>_xlfn.XLOOKUP(G51,'All Associates'!A:A,'All Associates'!D:D)</f>
        <v/>
      </c>
      <c r="J51" s="11">
        <f>IF(G51&lt;&gt;"","Allocated","Available")</f>
        <v/>
      </c>
    </row>
    <row r="52">
      <c r="A52" s="6" t="inlineStr">
        <is>
          <t>R</t>
        </is>
      </c>
      <c r="B52" s="6" t="n">
        <v>5</v>
      </c>
      <c r="C52" s="7" t="inlineStr">
        <is>
          <t>F</t>
        </is>
      </c>
      <c r="D52" s="12" t="inlineStr">
        <is>
          <t>02</t>
        </is>
      </c>
      <c r="E52" s="7" t="n">
        <v>5</v>
      </c>
      <c r="F52" s="7">
        <f>A52&amp;B52&amp;"-"&amp;C52&amp;E52&amp;"-"&amp;D52</f>
        <v/>
      </c>
      <c r="G52" s="6" t="n">
        <v>524</v>
      </c>
      <c r="H52" s="47">
        <f>_xlfn.XLOOKUP(G52,'All Associates'!A:A,'All Associates'!B:B)</f>
        <v/>
      </c>
      <c r="I52" s="58">
        <f>_xlfn.XLOOKUP(G52,'All Associates'!A:A,'All Associates'!D:D)</f>
        <v/>
      </c>
      <c r="J52" s="11">
        <f>IF(G52&lt;&gt;"","Allocated","Available")</f>
        <v/>
      </c>
    </row>
    <row r="53">
      <c r="A53" s="6" t="inlineStr">
        <is>
          <t>R</t>
        </is>
      </c>
      <c r="B53" s="6" t="n">
        <v>5</v>
      </c>
      <c r="C53" s="7" t="inlineStr">
        <is>
          <t>F</t>
        </is>
      </c>
      <c r="D53" s="12" t="inlineStr">
        <is>
          <t>03</t>
        </is>
      </c>
      <c r="E53" s="7" t="n">
        <v>5</v>
      </c>
      <c r="F53" s="7">
        <f>A53&amp;B53&amp;"-"&amp;C53&amp;E53&amp;"-"&amp;D53</f>
        <v/>
      </c>
      <c r="G53" s="6" t="n">
        <v>751</v>
      </c>
      <c r="H53" s="47">
        <f>_xlfn.XLOOKUP(G53,'All Associates'!A:A,'All Associates'!B:B)</f>
        <v/>
      </c>
      <c r="I53" s="58">
        <f>_xlfn.XLOOKUP(G53,'All Associates'!A:A,'All Associates'!D:D)</f>
        <v/>
      </c>
      <c r="J53" s="11">
        <f>IF(G53&lt;&gt;"","Allocated","Available")</f>
        <v/>
      </c>
    </row>
    <row r="54">
      <c r="A54" s="6" t="inlineStr">
        <is>
          <t>R</t>
        </is>
      </c>
      <c r="B54" s="6" t="n">
        <v>5</v>
      </c>
      <c r="C54" s="7" t="inlineStr">
        <is>
          <t>F</t>
        </is>
      </c>
      <c r="D54" s="12" t="inlineStr">
        <is>
          <t>04</t>
        </is>
      </c>
      <c r="E54" s="7" t="n">
        <v>5</v>
      </c>
      <c r="F54" s="7">
        <f>A54&amp;B54&amp;"-"&amp;C54&amp;E54&amp;"-"&amp;D54</f>
        <v/>
      </c>
      <c r="G54" s="6" t="n">
        <v>391</v>
      </c>
      <c r="H54" s="47">
        <f>_xlfn.XLOOKUP(G54,'All Associates'!A:A,'All Associates'!B:B)</f>
        <v/>
      </c>
      <c r="I54" s="58">
        <f>_xlfn.XLOOKUP(G54,'All Associates'!A:A,'All Associates'!D:D)</f>
        <v/>
      </c>
      <c r="J54" s="11">
        <f>IF(G54&lt;&gt;"","Allocated","Available")</f>
        <v/>
      </c>
    </row>
    <row r="55">
      <c r="A55" s="6" t="inlineStr">
        <is>
          <t>R</t>
        </is>
      </c>
      <c r="B55" s="6" t="n">
        <v>5</v>
      </c>
      <c r="C55" s="7" t="inlineStr">
        <is>
          <t>F</t>
        </is>
      </c>
      <c r="D55" s="12" t="inlineStr">
        <is>
          <t>01</t>
        </is>
      </c>
      <c r="E55" s="7" t="n">
        <v>5</v>
      </c>
      <c r="F55" s="7">
        <f>A55&amp;B55&amp;"-"&amp;C55&amp;E55&amp;"-"&amp;D55</f>
        <v/>
      </c>
      <c r="G55" s="6" t="n">
        <v>921</v>
      </c>
      <c r="H55" s="47">
        <f>_xlfn.XLOOKUP(G55,'All Associates'!A:A,'All Associates'!B:B)</f>
        <v/>
      </c>
      <c r="I55" s="58">
        <f>_xlfn.XLOOKUP(G55,'All Associates'!A:A,'All Associates'!D:D)</f>
        <v/>
      </c>
      <c r="J55" s="11">
        <f>IF(G55&lt;&gt;"","Allocated","Available")</f>
        <v/>
      </c>
    </row>
    <row r="56">
      <c r="A56" s="6" t="inlineStr">
        <is>
          <t>R</t>
        </is>
      </c>
      <c r="B56" s="6" t="n">
        <v>5</v>
      </c>
      <c r="C56" s="7" t="inlineStr">
        <is>
          <t>F</t>
        </is>
      </c>
      <c r="D56" s="12" t="inlineStr">
        <is>
          <t>06</t>
        </is>
      </c>
      <c r="E56" s="7" t="n">
        <v>5</v>
      </c>
      <c r="F56" s="7">
        <f>A56&amp;B56&amp;"-"&amp;C56&amp;E56&amp;"-"&amp;D56</f>
        <v/>
      </c>
      <c r="G56" s="6" t="n">
        <v>752</v>
      </c>
      <c r="H56" s="47">
        <f>_xlfn.XLOOKUP(G56,'All Associates'!A:A,'All Associates'!B:B)</f>
        <v/>
      </c>
      <c r="I56" s="58">
        <f>_xlfn.XLOOKUP(G56,'All Associates'!A:A,'All Associates'!D:D)</f>
        <v/>
      </c>
      <c r="J56" s="11">
        <f>IF(G56&lt;&gt;"","Allocated","Available")</f>
        <v/>
      </c>
    </row>
    <row r="57">
      <c r="A57" s="6" t="inlineStr">
        <is>
          <t>R</t>
        </is>
      </c>
      <c r="B57" s="6" t="n">
        <v>5</v>
      </c>
      <c r="C57" s="7" t="inlineStr">
        <is>
          <t>F</t>
        </is>
      </c>
      <c r="D57" s="12" t="inlineStr">
        <is>
          <t>07</t>
        </is>
      </c>
      <c r="E57" s="7" t="n">
        <v>5</v>
      </c>
      <c r="F57" s="7">
        <f>A57&amp;B57&amp;"-"&amp;C57&amp;E57&amp;"-"&amp;D57</f>
        <v/>
      </c>
      <c r="G57" s="6" t="n"/>
      <c r="H57" s="47">
        <f>_xlfn.XLOOKUP(G57,'All Associates'!A:A,'All Associates'!B:B)</f>
        <v/>
      </c>
      <c r="I57" s="58">
        <f>_xlfn.XLOOKUP(G57,'All Associates'!A:A,'All Associates'!D:D)</f>
        <v/>
      </c>
      <c r="J57" s="11">
        <f>IF(G57&lt;&gt;"","Allocated","Available")</f>
        <v/>
      </c>
    </row>
    <row r="58">
      <c r="A58" s="6" t="inlineStr">
        <is>
          <t>R</t>
        </is>
      </c>
      <c r="B58" s="6" t="n">
        <v>5</v>
      </c>
      <c r="C58" s="7" t="inlineStr">
        <is>
          <t>F</t>
        </is>
      </c>
      <c r="D58" s="12" t="inlineStr">
        <is>
          <t>08</t>
        </is>
      </c>
      <c r="E58" s="7" t="n">
        <v>5</v>
      </c>
      <c r="F58" s="7">
        <f>A58&amp;B58&amp;"-"&amp;C58&amp;E58&amp;"-"&amp;D58</f>
        <v/>
      </c>
      <c r="G58" s="6" t="n"/>
      <c r="H58" s="47">
        <f>_xlfn.XLOOKUP(G58,'All Associates'!A:A,'All Associates'!B:B)</f>
        <v/>
      </c>
      <c r="I58" s="58">
        <f>_xlfn.XLOOKUP(G58,'All Associates'!A:A,'All Associates'!D:D)</f>
        <v/>
      </c>
      <c r="J58" s="11">
        <f>IF(G58&lt;&gt;"","Allocated","Available")</f>
        <v/>
      </c>
    </row>
    <row r="59">
      <c r="A59" s="6" t="inlineStr">
        <is>
          <t>R</t>
        </is>
      </c>
      <c r="B59" s="6" t="n">
        <v>5</v>
      </c>
      <c r="C59" s="7" t="inlineStr">
        <is>
          <t>F</t>
        </is>
      </c>
      <c r="D59" s="12" t="inlineStr">
        <is>
          <t>01</t>
        </is>
      </c>
      <c r="E59" s="7" t="n">
        <v>6</v>
      </c>
      <c r="F59" s="7">
        <f>A59&amp;B59&amp;"-"&amp;C59&amp;E59&amp;"-"&amp;D59</f>
        <v/>
      </c>
      <c r="G59" s="6" t="n">
        <v>321</v>
      </c>
      <c r="H59" s="47">
        <f>_xlfn.XLOOKUP(G59,'All Associates'!A:A,'All Associates'!B:B)</f>
        <v/>
      </c>
      <c r="I59" s="58">
        <f>_xlfn.XLOOKUP(G59,'All Associates'!A:A,'All Associates'!D:D)</f>
        <v/>
      </c>
      <c r="J59" s="11">
        <f>IF(G59&lt;&gt;"","Allocated","Available")</f>
        <v/>
      </c>
    </row>
    <row r="60">
      <c r="A60" s="6" t="inlineStr">
        <is>
          <t>R</t>
        </is>
      </c>
      <c r="B60" s="6" t="n">
        <v>5</v>
      </c>
      <c r="C60" s="7" t="inlineStr">
        <is>
          <t>F</t>
        </is>
      </c>
      <c r="D60" s="12" t="inlineStr">
        <is>
          <t>02</t>
        </is>
      </c>
      <c r="E60" s="7" t="n">
        <v>6</v>
      </c>
      <c r="F60" s="7">
        <f>A60&amp;B60&amp;"-"&amp;C60&amp;E60&amp;"-"&amp;D60</f>
        <v/>
      </c>
      <c r="G60" s="6" t="n">
        <v>891</v>
      </c>
      <c r="H60" s="47">
        <f>_xlfn.XLOOKUP(G60,'All Associates'!A:A,'All Associates'!B:B)</f>
        <v/>
      </c>
      <c r="I60" s="58">
        <f>_xlfn.XLOOKUP(G60,'All Associates'!A:A,'All Associates'!D:D)</f>
        <v/>
      </c>
      <c r="J60" s="11">
        <f>IF(G60&lt;&gt;"","Allocated","Available")</f>
        <v/>
      </c>
    </row>
    <row r="61">
      <c r="A61" s="6" t="inlineStr">
        <is>
          <t>R</t>
        </is>
      </c>
      <c r="B61" s="6" t="n">
        <v>5</v>
      </c>
      <c r="C61" s="7" t="inlineStr">
        <is>
          <t>F</t>
        </is>
      </c>
      <c r="D61" s="12" t="inlineStr">
        <is>
          <t>03</t>
        </is>
      </c>
      <c r="E61" s="7" t="n">
        <v>6</v>
      </c>
      <c r="F61" s="7">
        <f>A61&amp;B61&amp;"-"&amp;C61&amp;E61&amp;"-"&amp;D61</f>
        <v/>
      </c>
      <c r="G61" s="6" t="n">
        <v>411</v>
      </c>
      <c r="H61" s="47">
        <f>_xlfn.XLOOKUP(G61,'All Associates'!A:A,'All Associates'!B:B)</f>
        <v/>
      </c>
      <c r="I61" s="58">
        <f>_xlfn.XLOOKUP(G61,'All Associates'!A:A,'All Associates'!D:D)</f>
        <v/>
      </c>
      <c r="J61" s="11">
        <f>IF(G61&lt;&gt;"","Allocated","Available")</f>
        <v/>
      </c>
    </row>
    <row r="62">
      <c r="A62" s="6" t="inlineStr">
        <is>
          <t>R</t>
        </is>
      </c>
      <c r="B62" s="6" t="n">
        <v>5</v>
      </c>
      <c r="C62" s="7" t="inlineStr">
        <is>
          <t>F</t>
        </is>
      </c>
      <c r="D62" s="12" t="inlineStr">
        <is>
          <t>04</t>
        </is>
      </c>
      <c r="E62" s="7" t="n">
        <v>6</v>
      </c>
      <c r="F62" s="7">
        <f>A62&amp;B62&amp;"-"&amp;C62&amp;E62&amp;"-"&amp;D62</f>
        <v/>
      </c>
      <c r="G62" s="6" t="n">
        <v>583</v>
      </c>
      <c r="H62" s="47">
        <f>_xlfn.XLOOKUP(G62,'All Associates'!A:A,'All Associates'!B:B)</f>
        <v/>
      </c>
      <c r="I62" s="58">
        <f>_xlfn.XLOOKUP(G62,'All Associates'!A:A,'All Associates'!D:D)</f>
        <v/>
      </c>
      <c r="J62" s="11">
        <f>IF(G62&lt;&gt;"","Allocated","Available")</f>
        <v/>
      </c>
    </row>
    <row r="63">
      <c r="A63" s="6" t="inlineStr">
        <is>
          <t>R</t>
        </is>
      </c>
      <c r="B63" s="6" t="n">
        <v>5</v>
      </c>
      <c r="C63" s="7" t="inlineStr">
        <is>
          <t>F</t>
        </is>
      </c>
      <c r="D63" s="12" t="inlineStr">
        <is>
          <t>05</t>
        </is>
      </c>
      <c r="E63" s="7" t="n">
        <v>6</v>
      </c>
      <c r="F63" s="7">
        <f>A63&amp;B63&amp;"-"&amp;C63&amp;E63&amp;"-"&amp;D63</f>
        <v/>
      </c>
      <c r="H63" s="47">
        <f>_xlfn.XLOOKUP(G63,'All Associates'!A:A,'All Associates'!B:B)</f>
        <v/>
      </c>
      <c r="I63" s="58">
        <f>_xlfn.XLOOKUP(G63,'All Associates'!A:A,'All Associates'!D:D)</f>
        <v/>
      </c>
      <c r="J63" s="11">
        <f>IF(G63&lt;&gt;"","Allocated","Available")</f>
        <v/>
      </c>
    </row>
    <row r="64">
      <c r="A64" s="6" t="inlineStr">
        <is>
          <t>R</t>
        </is>
      </c>
      <c r="B64" s="6" t="n">
        <v>5</v>
      </c>
      <c r="C64" s="7" t="inlineStr">
        <is>
          <t>F</t>
        </is>
      </c>
      <c r="D64" s="12" t="inlineStr">
        <is>
          <t>06</t>
        </is>
      </c>
      <c r="E64" s="7" t="n">
        <v>6</v>
      </c>
      <c r="F64" s="7">
        <f>A64&amp;B64&amp;"-"&amp;C64&amp;E64&amp;"-"&amp;D64</f>
        <v/>
      </c>
      <c r="G64" s="6" t="n">
        <v>1127</v>
      </c>
      <c r="H64" s="47">
        <f>_xlfn.XLOOKUP(G64,'All Associates'!A:A,'All Associates'!B:B)</f>
        <v/>
      </c>
      <c r="I64" s="58">
        <f>_xlfn.XLOOKUP(G64,'All Associates'!A:A,'All Associates'!D:D)</f>
        <v/>
      </c>
      <c r="J64" s="11">
        <f>IF(G64&lt;&gt;"","Allocated","Available")</f>
        <v/>
      </c>
    </row>
    <row r="65">
      <c r="A65" s="6" t="inlineStr">
        <is>
          <t>R</t>
        </is>
      </c>
      <c r="B65" s="6" t="n">
        <v>5</v>
      </c>
      <c r="C65" s="7" t="inlineStr">
        <is>
          <t>F</t>
        </is>
      </c>
      <c r="D65" s="12" t="inlineStr">
        <is>
          <t>07</t>
        </is>
      </c>
      <c r="E65" s="7" t="n">
        <v>6</v>
      </c>
      <c r="F65" s="7">
        <f>A65&amp;B65&amp;"-"&amp;C65&amp;E65&amp;"-"&amp;D65</f>
        <v/>
      </c>
      <c r="G65" s="6" t="n">
        <v>1080</v>
      </c>
      <c r="H65" s="47">
        <f>_xlfn.XLOOKUP(G65,'All Associates'!A:A,'All Associates'!B:B)</f>
        <v/>
      </c>
      <c r="I65" s="58">
        <f>_xlfn.XLOOKUP(G65,'All Associates'!A:A,'All Associates'!D:D)</f>
        <v/>
      </c>
      <c r="J65" s="11">
        <f>IF(G65&lt;&gt;"","Allocated","Available")</f>
        <v/>
      </c>
    </row>
    <row r="66">
      <c r="A66" s="6" t="inlineStr">
        <is>
          <t>R</t>
        </is>
      </c>
      <c r="B66" s="6" t="n">
        <v>5</v>
      </c>
      <c r="C66" s="7" t="inlineStr">
        <is>
          <t>F</t>
        </is>
      </c>
      <c r="D66" s="12" t="inlineStr">
        <is>
          <t>08</t>
        </is>
      </c>
      <c r="E66" s="7" t="n">
        <v>6</v>
      </c>
      <c r="F66" s="7">
        <f>A66&amp;B66&amp;"-"&amp;C66&amp;E66&amp;"-"&amp;D66</f>
        <v/>
      </c>
      <c r="G66" s="6" t="n"/>
      <c r="H66" s="47">
        <f>_xlfn.XLOOKUP(G66,'All Associates'!A:A,'All Associates'!B:B)</f>
        <v/>
      </c>
      <c r="I66" s="58">
        <f>_xlfn.XLOOKUP(G66,'All Associates'!A:A,'All Associates'!D:D)</f>
        <v/>
      </c>
      <c r="J66" s="11">
        <f>IF(G66&lt;&gt;"","Allocated","Available")</f>
        <v/>
      </c>
    </row>
    <row r="67">
      <c r="A67" s="6" t="inlineStr">
        <is>
          <t>R</t>
        </is>
      </c>
      <c r="B67" s="6" t="n">
        <v>5</v>
      </c>
      <c r="C67" s="7" t="inlineStr">
        <is>
          <t>F</t>
        </is>
      </c>
      <c r="D67" s="12" t="inlineStr">
        <is>
          <t>01</t>
        </is>
      </c>
      <c r="E67" s="7" t="inlineStr">
        <is>
          <t>M1</t>
        </is>
      </c>
      <c r="F67" s="7">
        <f>A67&amp;B67&amp;"-"&amp;C67&amp;E67&amp;"-"&amp;D67</f>
        <v/>
      </c>
      <c r="G67" s="6" t="n">
        <v>225</v>
      </c>
      <c r="H67" s="47">
        <f>_xlfn.XLOOKUP(G67,'All Associates'!A:A,'All Associates'!B:B)</f>
        <v/>
      </c>
      <c r="I67" s="58">
        <f>_xlfn.XLOOKUP(G67,'All Associates'!A:A,'All Associates'!D:D)</f>
        <v/>
      </c>
      <c r="J67" s="11">
        <f>IF(G67&lt;&gt;"","Allocated","Available")</f>
        <v/>
      </c>
    </row>
    <row r="68">
      <c r="A68" s="6" t="inlineStr">
        <is>
          <t>R</t>
        </is>
      </c>
      <c r="B68" s="6" t="n">
        <v>5</v>
      </c>
      <c r="C68" s="6" t="inlineStr">
        <is>
          <t>G</t>
        </is>
      </c>
      <c r="D68" s="12" t="inlineStr">
        <is>
          <t>01</t>
        </is>
      </c>
      <c r="E68" s="7" t="n">
        <v>1</v>
      </c>
      <c r="F68" s="7">
        <f>A68&amp;B68&amp;"-"&amp;C68&amp;E68&amp;"-"&amp;D68</f>
        <v/>
      </c>
      <c r="G68" s="6" t="n">
        <v>235</v>
      </c>
      <c r="H68" s="47">
        <f>_xlfn.XLOOKUP(G68,'All Associates'!A:A,'All Associates'!B:B)</f>
        <v/>
      </c>
      <c r="I68" s="58">
        <f>_xlfn.XLOOKUP(G68,'All Associates'!A:A,'All Associates'!D:D)</f>
        <v/>
      </c>
      <c r="J68" s="11">
        <f>IF(G68&lt;&gt;"","Allocated","Available")</f>
        <v/>
      </c>
    </row>
    <row r="69">
      <c r="A69" s="6" t="inlineStr">
        <is>
          <t>R</t>
        </is>
      </c>
      <c r="B69" s="6" t="n">
        <v>5</v>
      </c>
      <c r="C69" s="6" t="inlineStr">
        <is>
          <t>G</t>
        </is>
      </c>
      <c r="D69" s="12" t="inlineStr">
        <is>
          <t>02</t>
        </is>
      </c>
      <c r="E69" s="7" t="n">
        <v>1</v>
      </c>
      <c r="F69" s="7">
        <f>A69&amp;B69&amp;"-"&amp;C69&amp;E69&amp;"-"&amp;D69</f>
        <v/>
      </c>
      <c r="G69" s="6" t="n">
        <v>214</v>
      </c>
      <c r="H69" s="47">
        <f>_xlfn.XLOOKUP(G69,'All Associates'!A:A,'All Associates'!B:B)</f>
        <v/>
      </c>
      <c r="I69" s="58">
        <f>_xlfn.XLOOKUP(G69,'All Associates'!A:A,'All Associates'!D:D)</f>
        <v/>
      </c>
      <c r="J69" s="11">
        <f>IF(G69&lt;&gt;"","Allocated","Available")</f>
        <v/>
      </c>
    </row>
    <row r="70">
      <c r="A70" s="6" t="inlineStr">
        <is>
          <t>R</t>
        </is>
      </c>
      <c r="B70" s="6" t="n">
        <v>5</v>
      </c>
      <c r="C70" s="6" t="inlineStr">
        <is>
          <t>G</t>
        </is>
      </c>
      <c r="D70" s="12" t="inlineStr">
        <is>
          <t>03</t>
        </is>
      </c>
      <c r="E70" s="7" t="n">
        <v>1</v>
      </c>
      <c r="F70" s="7">
        <f>A70&amp;B70&amp;"-"&amp;C70&amp;E70&amp;"-"&amp;D70</f>
        <v/>
      </c>
      <c r="G70" s="6" t="n">
        <v>589</v>
      </c>
      <c r="H70" s="47">
        <f>_xlfn.XLOOKUP(G70,'All Associates'!A:A,'All Associates'!B:B)</f>
        <v/>
      </c>
      <c r="I70" s="58">
        <f>_xlfn.XLOOKUP(G70,'All Associates'!A:A,'All Associates'!D:D)</f>
        <v/>
      </c>
      <c r="J70" s="11">
        <f>IF(G70&lt;&gt;"","Allocated","Available")</f>
        <v/>
      </c>
    </row>
    <row r="71">
      <c r="A71" s="6" t="inlineStr">
        <is>
          <t>R</t>
        </is>
      </c>
      <c r="B71" s="6" t="n">
        <v>5</v>
      </c>
      <c r="C71" s="6" t="inlineStr">
        <is>
          <t>G</t>
        </is>
      </c>
      <c r="D71" s="12" t="inlineStr">
        <is>
          <t>04</t>
        </is>
      </c>
      <c r="E71" s="7" t="n">
        <v>1</v>
      </c>
      <c r="F71" s="7">
        <f>A71&amp;B71&amp;"-"&amp;C71&amp;E71&amp;"-"&amp;D71</f>
        <v/>
      </c>
      <c r="G71" s="6" t="n">
        <v>1229</v>
      </c>
      <c r="H71" s="47">
        <f>_xlfn.XLOOKUP(G71,'All Associates'!A:A,'All Associates'!B:B)</f>
        <v/>
      </c>
      <c r="I71" s="58">
        <f>_xlfn.XLOOKUP(G71,'All Associates'!A:A,'All Associates'!D:D)</f>
        <v/>
      </c>
      <c r="J71" s="11">
        <f>IF(G71&lt;&gt;"","Allocated","Available")</f>
        <v/>
      </c>
    </row>
    <row r="72">
      <c r="A72" s="6" t="inlineStr">
        <is>
          <t>R</t>
        </is>
      </c>
      <c r="B72" s="6" t="n">
        <v>5</v>
      </c>
      <c r="C72" s="6" t="inlineStr">
        <is>
          <t>G</t>
        </is>
      </c>
      <c r="D72" s="12" t="inlineStr">
        <is>
          <t>05</t>
        </is>
      </c>
      <c r="E72" s="7" t="n">
        <v>1</v>
      </c>
      <c r="F72" s="7">
        <f>A72&amp;B72&amp;"-"&amp;C72&amp;E72&amp;"-"&amp;D72</f>
        <v/>
      </c>
      <c r="G72" s="6" t="n">
        <v>974</v>
      </c>
      <c r="H72" s="47">
        <f>_xlfn.XLOOKUP(G72,'All Associates'!A:A,'All Associates'!B:B)</f>
        <v/>
      </c>
      <c r="I72" s="58">
        <f>_xlfn.XLOOKUP(G72,'All Associates'!A:A,'All Associates'!D:D)</f>
        <v/>
      </c>
      <c r="J72" s="11">
        <f>IF(G72&lt;&gt;"","Allocated","Available")</f>
        <v/>
      </c>
    </row>
    <row r="73">
      <c r="A73" s="6" t="inlineStr">
        <is>
          <t>R</t>
        </is>
      </c>
      <c r="B73" s="6" t="n">
        <v>5</v>
      </c>
      <c r="C73" s="6" t="inlineStr">
        <is>
          <t>G</t>
        </is>
      </c>
      <c r="D73" s="12" t="inlineStr">
        <is>
          <t>06</t>
        </is>
      </c>
      <c r="E73" s="7" t="n">
        <v>1</v>
      </c>
      <c r="F73" s="7">
        <f>A73&amp;B73&amp;"-"&amp;C73&amp;E73&amp;"-"&amp;D73</f>
        <v/>
      </c>
      <c r="G73" s="6" t="n">
        <v>1166</v>
      </c>
      <c r="H73" s="47">
        <f>_xlfn.XLOOKUP(G73,'All Associates'!A:A,'All Associates'!B:B)</f>
        <v/>
      </c>
      <c r="I73" s="58">
        <f>_xlfn.XLOOKUP(G73,'All Associates'!A:A,'All Associates'!D:D)</f>
        <v/>
      </c>
      <c r="J73" s="11">
        <f>IF(G73&lt;&gt;"","Allocated","Available")</f>
        <v/>
      </c>
    </row>
    <row r="74">
      <c r="A74" s="6" t="inlineStr">
        <is>
          <t>R</t>
        </is>
      </c>
      <c r="B74" s="6" t="n">
        <v>5</v>
      </c>
      <c r="C74" s="6" t="inlineStr">
        <is>
          <t>G</t>
        </is>
      </c>
      <c r="D74" s="12" t="inlineStr">
        <is>
          <t>07</t>
        </is>
      </c>
      <c r="E74" s="7" t="n">
        <v>1</v>
      </c>
      <c r="F74" s="7">
        <f>A74&amp;B74&amp;"-"&amp;C74&amp;E74&amp;"-"&amp;D74</f>
        <v/>
      </c>
      <c r="G74" s="6" t="n"/>
      <c r="H74" s="47">
        <f>_xlfn.XLOOKUP(G74,'All Associates'!A:A,'All Associates'!B:B)</f>
        <v/>
      </c>
      <c r="I74" s="58">
        <f>_xlfn.XLOOKUP(G74,'All Associates'!A:A,'All Associates'!D:D)</f>
        <v/>
      </c>
      <c r="J74" s="11">
        <f>IF(G74&lt;&gt;"","Allocated","Available")</f>
        <v/>
      </c>
    </row>
    <row r="75">
      <c r="A75" s="6" t="inlineStr">
        <is>
          <t>R</t>
        </is>
      </c>
      <c r="B75" s="6" t="n">
        <v>5</v>
      </c>
      <c r="C75" s="6" t="inlineStr">
        <is>
          <t>G</t>
        </is>
      </c>
      <c r="D75" s="12" t="inlineStr">
        <is>
          <t>01</t>
        </is>
      </c>
      <c r="E75" s="7" t="n">
        <v>2</v>
      </c>
      <c r="F75" s="7">
        <f>A75&amp;B75&amp;"-"&amp;C75&amp;E75&amp;"-"&amp;D75</f>
        <v/>
      </c>
      <c r="G75" s="6" t="n">
        <v>1087</v>
      </c>
      <c r="H75" s="47">
        <f>_xlfn.XLOOKUP(G75,'All Associates'!A:A,'All Associates'!B:B)</f>
        <v/>
      </c>
      <c r="I75" s="58">
        <f>_xlfn.XLOOKUP(G75,'All Associates'!A:A,'All Associates'!D:D)</f>
        <v/>
      </c>
      <c r="J75" s="11">
        <f>IF(G75&lt;&gt;"","Allocated","Available")</f>
        <v/>
      </c>
    </row>
    <row r="76">
      <c r="A76" s="6" t="inlineStr">
        <is>
          <t>R</t>
        </is>
      </c>
      <c r="B76" s="6" t="n">
        <v>5</v>
      </c>
      <c r="C76" s="6" t="inlineStr">
        <is>
          <t>G</t>
        </is>
      </c>
      <c r="D76" s="12" t="inlineStr">
        <is>
          <t>02</t>
        </is>
      </c>
      <c r="E76" s="7" t="n">
        <v>2</v>
      </c>
      <c r="F76" s="7">
        <f>A76&amp;B76&amp;"-"&amp;C76&amp;E76&amp;"-"&amp;D76</f>
        <v/>
      </c>
      <c r="G76" s="6" t="n">
        <v>855</v>
      </c>
      <c r="H76" s="47">
        <f>_xlfn.XLOOKUP(G76,'All Associates'!A:A,'All Associates'!B:B)</f>
        <v/>
      </c>
      <c r="I76" s="58">
        <f>_xlfn.XLOOKUP(G76,'All Associates'!A:A,'All Associates'!D:D)</f>
        <v/>
      </c>
      <c r="J76" s="11">
        <f>IF(G76&lt;&gt;"","Allocated","Available")</f>
        <v/>
      </c>
    </row>
    <row r="77">
      <c r="A77" s="6" t="inlineStr">
        <is>
          <t>R</t>
        </is>
      </c>
      <c r="B77" s="6" t="n">
        <v>5</v>
      </c>
      <c r="C77" s="6" t="inlineStr">
        <is>
          <t>G</t>
        </is>
      </c>
      <c r="D77" s="12" t="inlineStr">
        <is>
          <t>03</t>
        </is>
      </c>
      <c r="E77" s="7" t="n">
        <v>2</v>
      </c>
      <c r="F77" s="7">
        <f>A77&amp;B77&amp;"-"&amp;C77&amp;E77&amp;"-"&amp;D77</f>
        <v/>
      </c>
      <c r="G77" s="6" t="n">
        <v>2025</v>
      </c>
      <c r="H77" s="47">
        <f>_xlfn.XLOOKUP(G77,'All Associates'!A:A,'All Associates'!B:B)</f>
        <v/>
      </c>
      <c r="I77" s="58">
        <f>_xlfn.XLOOKUP(G77,'All Associates'!A:A,'All Associates'!D:D)</f>
        <v/>
      </c>
      <c r="J77" s="11">
        <f>IF(G77&lt;&gt;"","Allocated","Available")</f>
        <v/>
      </c>
    </row>
    <row r="78">
      <c r="A78" s="6" t="inlineStr">
        <is>
          <t>R</t>
        </is>
      </c>
      <c r="B78" s="6" t="n">
        <v>5</v>
      </c>
      <c r="C78" s="6" t="inlineStr">
        <is>
          <t>G</t>
        </is>
      </c>
      <c r="D78" s="12" t="inlineStr">
        <is>
          <t>04</t>
        </is>
      </c>
      <c r="E78" s="7" t="n">
        <v>2</v>
      </c>
      <c r="F78" s="7">
        <f>A78&amp;B78&amp;"-"&amp;C78&amp;E78&amp;"-"&amp;D78</f>
        <v/>
      </c>
      <c r="G78" s="6" t="n">
        <v>1176</v>
      </c>
      <c r="H78" s="47">
        <f>_xlfn.XLOOKUP(G78,'All Associates'!A:A,'All Associates'!B:B)</f>
        <v/>
      </c>
      <c r="I78" s="58">
        <f>_xlfn.XLOOKUP(G78,'All Associates'!A:A,'All Associates'!D:D)</f>
        <v/>
      </c>
      <c r="J78" s="11">
        <f>IF(G78&lt;&gt;"","Allocated","Available")</f>
        <v/>
      </c>
    </row>
    <row r="79">
      <c r="A79" s="6" t="inlineStr">
        <is>
          <t>R</t>
        </is>
      </c>
      <c r="B79" s="6" t="n">
        <v>5</v>
      </c>
      <c r="C79" s="6" t="inlineStr">
        <is>
          <t>G</t>
        </is>
      </c>
      <c r="D79" s="12" t="inlineStr">
        <is>
          <t>05</t>
        </is>
      </c>
      <c r="E79" s="7" t="n">
        <v>2</v>
      </c>
      <c r="F79" s="7">
        <f>A79&amp;B79&amp;"-"&amp;C79&amp;E79&amp;"-"&amp;D79</f>
        <v/>
      </c>
      <c r="G79" s="6" t="n"/>
      <c r="H79" s="47">
        <f>_xlfn.XLOOKUP(G79,'All Associates'!A:A,'All Associates'!B:B)</f>
        <v/>
      </c>
      <c r="I79" s="58">
        <f>_xlfn.XLOOKUP(G79,'All Associates'!A:A,'All Associates'!D:D)</f>
        <v/>
      </c>
      <c r="J79" s="11">
        <f>IF(G79&lt;&gt;"","Allocated","Available")</f>
        <v/>
      </c>
    </row>
    <row r="80">
      <c r="A80" s="6" t="inlineStr">
        <is>
          <t>R</t>
        </is>
      </c>
      <c r="B80" s="6" t="n">
        <v>5</v>
      </c>
      <c r="C80" s="6" t="inlineStr">
        <is>
          <t>G</t>
        </is>
      </c>
      <c r="D80" s="12" t="inlineStr">
        <is>
          <t>06</t>
        </is>
      </c>
      <c r="E80" s="7" t="n">
        <v>2</v>
      </c>
      <c r="F80" s="7">
        <f>A80&amp;B80&amp;"-"&amp;C80&amp;E80&amp;"-"&amp;D80</f>
        <v/>
      </c>
      <c r="G80" s="6" t="n"/>
      <c r="H80" s="47">
        <f>_xlfn.XLOOKUP(G80,'All Associates'!A:A,'All Associates'!B:B)</f>
        <v/>
      </c>
      <c r="I80" s="58">
        <f>_xlfn.XLOOKUP(G80,'All Associates'!A:A,'All Associates'!D:D)</f>
        <v/>
      </c>
      <c r="J80" s="11">
        <f>IF(G80&lt;&gt;"","Allocated","Available")</f>
        <v/>
      </c>
    </row>
    <row r="81">
      <c r="A81" s="6" t="inlineStr">
        <is>
          <t>R</t>
        </is>
      </c>
      <c r="B81" s="6" t="n">
        <v>5</v>
      </c>
      <c r="C81" s="6" t="inlineStr">
        <is>
          <t>G</t>
        </is>
      </c>
      <c r="D81" s="12" t="inlineStr">
        <is>
          <t>01</t>
        </is>
      </c>
      <c r="E81" s="7" t="n">
        <v>3</v>
      </c>
      <c r="F81" s="7">
        <f>A81&amp;B81&amp;"-"&amp;C81&amp;E81&amp;"-"&amp;D81</f>
        <v/>
      </c>
      <c r="G81" s="6" t="n">
        <v>587</v>
      </c>
      <c r="H81" s="47">
        <f>_xlfn.XLOOKUP(G81,'All Associates'!A:A,'All Associates'!B:B)</f>
        <v/>
      </c>
      <c r="I81" s="58">
        <f>_xlfn.XLOOKUP(G81,'All Associates'!A:A,'All Associates'!D:D)</f>
        <v/>
      </c>
      <c r="J81" s="11">
        <f>IF(G81&lt;&gt;"","Allocated","Available")</f>
        <v/>
      </c>
    </row>
    <row r="82">
      <c r="A82" s="6" t="inlineStr">
        <is>
          <t>R</t>
        </is>
      </c>
      <c r="B82" s="6" t="n">
        <v>5</v>
      </c>
      <c r="C82" s="6" t="inlineStr">
        <is>
          <t>G</t>
        </is>
      </c>
      <c r="D82" s="12" t="inlineStr">
        <is>
          <t>02</t>
        </is>
      </c>
      <c r="E82" s="7" t="n">
        <v>3</v>
      </c>
      <c r="F82" s="6">
        <f>A82&amp;B82&amp;"-"&amp;C82&amp;E82&amp;"-"&amp;D82</f>
        <v/>
      </c>
      <c r="G82" s="6" t="n">
        <v>2063</v>
      </c>
      <c r="H82" s="47">
        <f>_xlfn.XLOOKUP(G82,'All Associates'!A:A,'All Associates'!B:B)</f>
        <v/>
      </c>
      <c r="I82" s="58">
        <f>_xlfn.XLOOKUP(G82,'All Associates'!A:A,'All Associates'!D:D)</f>
        <v/>
      </c>
      <c r="J82" s="11">
        <f>IF(G82&lt;&gt;"","Allocated","Available")</f>
        <v/>
      </c>
    </row>
    <row r="83">
      <c r="A83" s="6" t="inlineStr">
        <is>
          <t>R</t>
        </is>
      </c>
      <c r="B83" s="6" t="n">
        <v>5</v>
      </c>
      <c r="C83" s="6" t="inlineStr">
        <is>
          <t>G</t>
        </is>
      </c>
      <c r="D83" s="12" t="inlineStr">
        <is>
          <t>03</t>
        </is>
      </c>
      <c r="E83" s="7" t="n">
        <v>3</v>
      </c>
      <c r="F83" s="7">
        <f>A83&amp;B83&amp;"-"&amp;C83&amp;E83&amp;"-"&amp;D83</f>
        <v/>
      </c>
      <c r="G83" s="6" t="n">
        <v>1050</v>
      </c>
      <c r="H83" s="47">
        <f>_xlfn.XLOOKUP(G83,'All Associates'!A:A,'All Associates'!B:B)</f>
        <v/>
      </c>
      <c r="I83" s="58">
        <f>_xlfn.XLOOKUP(G83,'All Associates'!A:A,'All Associates'!D:D)</f>
        <v/>
      </c>
      <c r="J83" s="11">
        <f>IF(G83&lt;&gt;"","Allocated","Available")</f>
        <v/>
      </c>
    </row>
    <row r="84">
      <c r="A84" s="6" t="inlineStr">
        <is>
          <t>R</t>
        </is>
      </c>
      <c r="B84" s="6" t="n">
        <v>5</v>
      </c>
      <c r="C84" s="6" t="inlineStr">
        <is>
          <t>G</t>
        </is>
      </c>
      <c r="D84" s="12" t="inlineStr">
        <is>
          <t>04</t>
        </is>
      </c>
      <c r="E84" s="7" t="n">
        <v>3</v>
      </c>
      <c r="F84" s="7">
        <f>A84&amp;B84&amp;"-"&amp;C84&amp;E84&amp;"-"&amp;D84</f>
        <v/>
      </c>
      <c r="G84" s="6" t="n">
        <v>1134</v>
      </c>
      <c r="H84" s="47">
        <f>_xlfn.XLOOKUP(G84,'All Associates'!A:A,'All Associates'!B:B)</f>
        <v/>
      </c>
      <c r="I84" s="58">
        <f>_xlfn.XLOOKUP(G84,'All Associates'!A:A,'All Associates'!D:D)</f>
        <v/>
      </c>
      <c r="J84" s="11">
        <f>IF(G84&lt;&gt;"","Allocated","Available")</f>
        <v/>
      </c>
    </row>
    <row r="85">
      <c r="A85" s="6" t="inlineStr">
        <is>
          <t>R</t>
        </is>
      </c>
      <c r="B85" s="6" t="n">
        <v>5</v>
      </c>
      <c r="C85" s="6" t="inlineStr">
        <is>
          <t>G</t>
        </is>
      </c>
      <c r="D85" s="12" t="inlineStr">
        <is>
          <t>05</t>
        </is>
      </c>
      <c r="E85" s="7" t="n">
        <v>3</v>
      </c>
      <c r="F85" s="7">
        <f>A85&amp;B85&amp;"-"&amp;C85&amp;E85&amp;"-"&amp;D85</f>
        <v/>
      </c>
      <c r="G85" s="6" t="n">
        <v>1077</v>
      </c>
      <c r="H85" s="47">
        <f>_xlfn.XLOOKUP(G85,'All Associates'!A:A,'All Associates'!B:B)</f>
        <v/>
      </c>
      <c r="I85" s="58">
        <f>_xlfn.XLOOKUP(G85,'All Associates'!A:A,'All Associates'!D:D)</f>
        <v/>
      </c>
      <c r="J85" s="11">
        <f>IF(G85&lt;&gt;"","Allocated","Available")</f>
        <v/>
      </c>
    </row>
    <row r="86">
      <c r="A86" s="6" t="inlineStr">
        <is>
          <t>R</t>
        </is>
      </c>
      <c r="B86" s="6" t="n">
        <v>5</v>
      </c>
      <c r="C86" s="6" t="inlineStr">
        <is>
          <t>G</t>
        </is>
      </c>
      <c r="D86" s="12" t="inlineStr">
        <is>
          <t>06</t>
        </is>
      </c>
      <c r="E86" s="7" t="n">
        <v>3</v>
      </c>
      <c r="F86" s="7">
        <f>A86&amp;B86&amp;"-"&amp;C86&amp;E86&amp;"-"&amp;D86</f>
        <v/>
      </c>
      <c r="G86" s="6" t="n">
        <v>580</v>
      </c>
      <c r="H86" s="47">
        <f>_xlfn.XLOOKUP(G86,'All Associates'!A:A,'All Associates'!B:B)</f>
        <v/>
      </c>
      <c r="I86" s="58">
        <f>_xlfn.XLOOKUP(G86,'All Associates'!A:A,'All Associates'!D:D)</f>
        <v/>
      </c>
      <c r="J86" s="11">
        <f>IF(G86&lt;&gt;"","Allocated","Available")</f>
        <v/>
      </c>
    </row>
    <row r="87">
      <c r="A87" s="6" t="inlineStr">
        <is>
          <t>R</t>
        </is>
      </c>
      <c r="B87" s="6" t="n">
        <v>5</v>
      </c>
      <c r="C87" s="6" t="inlineStr">
        <is>
          <t>G</t>
        </is>
      </c>
      <c r="D87" s="12" t="inlineStr">
        <is>
          <t>07</t>
        </is>
      </c>
      <c r="E87" s="7" t="n">
        <v>3</v>
      </c>
      <c r="F87" s="7">
        <f>A87&amp;B87&amp;"-"&amp;C87&amp;E87&amp;"-"&amp;D87</f>
        <v/>
      </c>
      <c r="G87" s="6" t="n">
        <v>622</v>
      </c>
      <c r="H87" s="47">
        <f>_xlfn.XLOOKUP(G87,'All Associates'!A:A,'All Associates'!B:B)</f>
        <v/>
      </c>
      <c r="I87" s="58">
        <f>_xlfn.XLOOKUP(G87,'All Associates'!A:A,'All Associates'!D:D)</f>
        <v/>
      </c>
      <c r="J87" s="11">
        <f>IF(G87&lt;&gt;"","Allocated","Available")</f>
        <v/>
      </c>
    </row>
    <row r="88">
      <c r="A88" s="6" t="inlineStr">
        <is>
          <t>R</t>
        </is>
      </c>
      <c r="B88" s="6" t="n">
        <v>5</v>
      </c>
      <c r="C88" s="6" t="inlineStr">
        <is>
          <t>G</t>
        </is>
      </c>
      <c r="D88" s="12" t="inlineStr">
        <is>
          <t>08</t>
        </is>
      </c>
      <c r="E88" s="7" t="n">
        <v>3</v>
      </c>
      <c r="F88" s="7">
        <f>A88&amp;B88&amp;"-"&amp;C88&amp;E88&amp;"-"&amp;D88</f>
        <v/>
      </c>
      <c r="G88" s="6" t="n">
        <v>2035</v>
      </c>
      <c r="H88" s="47">
        <f>_xlfn.XLOOKUP(G88,'All Associates'!A:A,'All Associates'!B:B)</f>
        <v/>
      </c>
      <c r="I88" s="58">
        <f>_xlfn.XLOOKUP(G88,'All Associates'!A:A,'All Associates'!D:D)</f>
        <v/>
      </c>
      <c r="J88" s="11">
        <f>IF(G88&lt;&gt;"","Allocated","Available")</f>
        <v/>
      </c>
    </row>
    <row r="89">
      <c r="A89" s="6" t="inlineStr">
        <is>
          <t>R</t>
        </is>
      </c>
      <c r="B89" s="6" t="n">
        <v>5</v>
      </c>
      <c r="C89" s="6" t="inlineStr">
        <is>
          <t>G</t>
        </is>
      </c>
      <c r="D89" s="12" t="inlineStr">
        <is>
          <t>01</t>
        </is>
      </c>
      <c r="E89" s="7" t="n">
        <v>4</v>
      </c>
      <c r="F89" s="7">
        <f>A89&amp;B89&amp;"-"&amp;C89&amp;E89&amp;"-"&amp;D89</f>
        <v/>
      </c>
      <c r="G89" s="6" t="n">
        <v>1178</v>
      </c>
      <c r="H89" s="47">
        <f>_xlfn.XLOOKUP(G89,'All Associates'!A:A,'All Associates'!B:B)</f>
        <v/>
      </c>
      <c r="I89" s="58">
        <f>_xlfn.XLOOKUP(G89,'All Associates'!A:A,'All Associates'!D:D)</f>
        <v/>
      </c>
      <c r="J89" s="11">
        <f>IF(G89&lt;&gt;"","Allocated","Available")</f>
        <v/>
      </c>
    </row>
    <row r="90">
      <c r="A90" s="6" t="inlineStr">
        <is>
          <t>R</t>
        </is>
      </c>
      <c r="B90" s="6" t="n">
        <v>5</v>
      </c>
      <c r="C90" s="6" t="inlineStr">
        <is>
          <t>G</t>
        </is>
      </c>
      <c r="D90" s="12" t="inlineStr">
        <is>
          <t>02</t>
        </is>
      </c>
      <c r="E90" s="7" t="n">
        <v>4</v>
      </c>
      <c r="F90" s="7">
        <f>A90&amp;B90&amp;"-"&amp;C90&amp;E90&amp;"-"&amp;D90</f>
        <v/>
      </c>
      <c r="G90" s="6" t="n"/>
      <c r="H90" s="47">
        <f>_xlfn.XLOOKUP(G90,'All Associates'!A:A,'All Associates'!B:B)</f>
        <v/>
      </c>
      <c r="I90" s="58">
        <f>_xlfn.XLOOKUP(G90,'All Associates'!A:A,'All Associates'!D:D)</f>
        <v/>
      </c>
      <c r="J90" s="11">
        <f>IF(G90&lt;&gt;"","Allocated","Available")</f>
        <v/>
      </c>
    </row>
    <row r="91">
      <c r="A91" s="6" t="inlineStr">
        <is>
          <t>R</t>
        </is>
      </c>
      <c r="B91" s="6" t="n">
        <v>5</v>
      </c>
      <c r="C91" s="6" t="inlineStr">
        <is>
          <t>G</t>
        </is>
      </c>
      <c r="D91" s="12" t="inlineStr">
        <is>
          <t>03</t>
        </is>
      </c>
      <c r="E91" s="7" t="n">
        <v>4</v>
      </c>
      <c r="F91" s="7">
        <f>A91&amp;B91&amp;"-"&amp;C91&amp;E91&amp;"-"&amp;D91</f>
        <v/>
      </c>
      <c r="G91" s="6" t="n">
        <v>118</v>
      </c>
      <c r="H91" s="47">
        <f>_xlfn.XLOOKUP(G91,'All Associates'!A:A,'All Associates'!B:B)</f>
        <v/>
      </c>
      <c r="I91" s="58">
        <f>_xlfn.XLOOKUP(G91,'All Associates'!A:A,'All Associates'!D:D)</f>
        <v/>
      </c>
      <c r="J91" s="11">
        <f>IF(G91&lt;&gt;"","Allocated","Available")</f>
        <v/>
      </c>
    </row>
    <row r="92">
      <c r="A92" s="6" t="inlineStr">
        <is>
          <t>R</t>
        </is>
      </c>
      <c r="B92" s="6" t="n">
        <v>5</v>
      </c>
      <c r="C92" s="6" t="inlineStr">
        <is>
          <t>G</t>
        </is>
      </c>
      <c r="D92" s="12" t="inlineStr">
        <is>
          <t>04</t>
        </is>
      </c>
      <c r="E92" s="7" t="n">
        <v>4</v>
      </c>
      <c r="F92" s="7">
        <f>A92&amp;B92&amp;"-"&amp;C92&amp;E92&amp;"-"&amp;D92</f>
        <v/>
      </c>
      <c r="G92" s="6" t="n">
        <v>327</v>
      </c>
      <c r="H92" s="47">
        <f>_xlfn.XLOOKUP(G92,'All Associates'!A:A,'All Associates'!B:B)</f>
        <v/>
      </c>
      <c r="I92" s="58">
        <f>_xlfn.XLOOKUP(G92,'All Associates'!A:A,'All Associates'!D:D)</f>
        <v/>
      </c>
      <c r="J92" s="11">
        <f>IF(G92&lt;&gt;"","Allocated","Available")</f>
        <v/>
      </c>
    </row>
    <row r="93">
      <c r="A93" s="6" t="inlineStr">
        <is>
          <t>R</t>
        </is>
      </c>
      <c r="B93" s="6" t="n">
        <v>5</v>
      </c>
      <c r="C93" s="6" t="inlineStr">
        <is>
          <t>G</t>
        </is>
      </c>
      <c r="D93" s="12" t="inlineStr">
        <is>
          <t>05</t>
        </is>
      </c>
      <c r="E93" s="7" t="n">
        <v>4</v>
      </c>
      <c r="F93" s="7">
        <f>A93&amp;B93&amp;"-"&amp;C93&amp;E93&amp;"-"&amp;D93</f>
        <v/>
      </c>
      <c r="G93" s="6" t="n"/>
      <c r="H93" s="47">
        <f>_xlfn.XLOOKUP(G93,'All Associates'!A:A,'All Associates'!B:B)</f>
        <v/>
      </c>
      <c r="I93" s="58">
        <f>_xlfn.XLOOKUP(G93,'All Associates'!A:A,'All Associates'!D:D)</f>
        <v/>
      </c>
      <c r="J93" s="11">
        <f>IF(G93&lt;&gt;"","Allocated","Available")</f>
        <v/>
      </c>
    </row>
    <row r="94">
      <c r="A94" s="6" t="inlineStr">
        <is>
          <t>R</t>
        </is>
      </c>
      <c r="B94" s="6" t="n">
        <v>5</v>
      </c>
      <c r="C94" s="6" t="inlineStr">
        <is>
          <t>G</t>
        </is>
      </c>
      <c r="D94" s="12" t="inlineStr">
        <is>
          <t>06</t>
        </is>
      </c>
      <c r="E94" s="7" t="n">
        <v>4</v>
      </c>
      <c r="F94" s="7">
        <f>A94&amp;B94&amp;"-"&amp;C94&amp;E94&amp;"-"&amp;D94</f>
        <v/>
      </c>
      <c r="G94" s="6" t="n">
        <v>2007</v>
      </c>
      <c r="H94" s="47">
        <f>_xlfn.XLOOKUP(G94,'All Associates'!A:A,'All Associates'!B:B)</f>
        <v/>
      </c>
      <c r="I94" s="58">
        <f>_xlfn.XLOOKUP(G94,'All Associates'!A:A,'All Associates'!D:D)</f>
        <v/>
      </c>
      <c r="J94" s="11">
        <f>IF(G94&lt;&gt;"","Allocated","Available")</f>
        <v/>
      </c>
    </row>
    <row r="95">
      <c r="A95" s="6" t="inlineStr">
        <is>
          <t>R</t>
        </is>
      </c>
      <c r="B95" s="6" t="n">
        <v>5</v>
      </c>
      <c r="C95" s="6" t="inlineStr">
        <is>
          <t>G</t>
        </is>
      </c>
      <c r="D95" s="12" t="inlineStr">
        <is>
          <t>07</t>
        </is>
      </c>
      <c r="E95" s="7" t="n">
        <v>4</v>
      </c>
      <c r="F95" s="7">
        <f>A95&amp;B95&amp;"-"&amp;C95&amp;E95&amp;"-"&amp;D95</f>
        <v/>
      </c>
      <c r="G95" s="6" t="n">
        <v>1206</v>
      </c>
      <c r="H95" s="47">
        <f>_xlfn.XLOOKUP(G95,'All Associates'!A:A,'All Associates'!B:B)</f>
        <v/>
      </c>
      <c r="I95" s="58">
        <f>_xlfn.XLOOKUP(G95,'All Associates'!A:A,'All Associates'!D:D)</f>
        <v/>
      </c>
      <c r="J95" s="11">
        <f>IF(G95&lt;&gt;"","Allocated","Available")</f>
        <v/>
      </c>
    </row>
    <row r="96">
      <c r="A96" s="6" t="inlineStr">
        <is>
          <t>R</t>
        </is>
      </c>
      <c r="B96" s="6" t="n">
        <v>5</v>
      </c>
      <c r="C96" s="6" t="inlineStr">
        <is>
          <t>G</t>
        </is>
      </c>
      <c r="D96" s="12" t="inlineStr">
        <is>
          <t>08</t>
        </is>
      </c>
      <c r="E96" s="7" t="n">
        <v>4</v>
      </c>
      <c r="F96" s="7">
        <f>A96&amp;B96&amp;"-"&amp;C96&amp;E96&amp;"-"&amp;D96</f>
        <v/>
      </c>
      <c r="G96" s="6" t="n">
        <v>2005</v>
      </c>
      <c r="H96" s="47">
        <f>_xlfn.XLOOKUP(G96,'All Associates'!A:A,'All Associates'!B:B)</f>
        <v/>
      </c>
      <c r="I96" s="58">
        <f>_xlfn.XLOOKUP(G96,'All Associates'!A:A,'All Associates'!D:D)</f>
        <v/>
      </c>
      <c r="J96" s="11">
        <f>IF(G96&lt;&gt;"","Allocated","Available")</f>
        <v/>
      </c>
    </row>
    <row r="97">
      <c r="A97" s="6" t="inlineStr">
        <is>
          <t>R</t>
        </is>
      </c>
      <c r="B97" s="6" t="n">
        <v>5</v>
      </c>
      <c r="C97" s="6" t="inlineStr">
        <is>
          <t>G</t>
        </is>
      </c>
      <c r="D97" s="12" t="inlineStr">
        <is>
          <t>01</t>
        </is>
      </c>
      <c r="E97" s="7" t="inlineStr">
        <is>
          <t>M1</t>
        </is>
      </c>
      <c r="F97" s="7">
        <f>A97&amp;B97&amp;"-"&amp;C97&amp;E97&amp;"-"&amp;D97</f>
        <v/>
      </c>
      <c r="G97" s="6" t="n">
        <v>982</v>
      </c>
      <c r="H97" s="47">
        <f>_xlfn.XLOOKUP(G97,'All Associates'!A:A,'All Associates'!B:B)</f>
        <v/>
      </c>
      <c r="I97" s="58">
        <f>_xlfn.XLOOKUP(G97,'All Associates'!A:A,'All Associates'!D:D)</f>
        <v/>
      </c>
      <c r="J97" s="11">
        <f>IF(G97&lt;&gt;"","Allocated","Available")</f>
        <v/>
      </c>
    </row>
    <row r="98">
      <c r="A98" s="6" t="inlineStr">
        <is>
          <t>R</t>
        </is>
      </c>
      <c r="B98" s="6" t="n">
        <v>5</v>
      </c>
      <c r="C98" s="6" t="inlineStr">
        <is>
          <t>H</t>
        </is>
      </c>
      <c r="D98" s="12" t="inlineStr">
        <is>
          <t>01</t>
        </is>
      </c>
      <c r="E98" s="7" t="inlineStr">
        <is>
          <t>M1</t>
        </is>
      </c>
      <c r="F98" s="7">
        <f>A98&amp;B98&amp;"-"&amp;C98&amp;E98&amp;"-"&amp;D98</f>
        <v/>
      </c>
      <c r="G98" s="6" t="n">
        <v>51</v>
      </c>
      <c r="H98" s="47">
        <f>_xlfn.XLOOKUP(G98,'All Associates'!A:A,'All Associates'!B:B)</f>
        <v/>
      </c>
      <c r="I98" s="58">
        <f>_xlfn.XLOOKUP(G98,'All Associates'!A:A,'All Associates'!D:D)</f>
        <v/>
      </c>
      <c r="J98" s="11">
        <f>IF(G98&lt;&gt;"","Allocated","Available")</f>
        <v/>
      </c>
    </row>
    <row r="99">
      <c r="A99" s="6" t="inlineStr">
        <is>
          <t>R</t>
        </is>
      </c>
      <c r="B99" s="6" t="n">
        <v>5</v>
      </c>
      <c r="C99" s="6" t="inlineStr">
        <is>
          <t>H</t>
        </is>
      </c>
      <c r="D99" s="12" t="inlineStr">
        <is>
          <t>01</t>
        </is>
      </c>
      <c r="E99" s="7" t="n">
        <v>1</v>
      </c>
      <c r="F99" s="7">
        <f>A99&amp;B99&amp;"-"&amp;C99&amp;E99&amp;"-"&amp;D99</f>
        <v/>
      </c>
      <c r="G99" s="6" t="n">
        <v>342</v>
      </c>
      <c r="H99" s="47">
        <f>_xlfn.XLOOKUP(G99,'All Associates'!A:A,'All Associates'!B:B)</f>
        <v/>
      </c>
      <c r="I99" s="47">
        <f>_xlfn.XLOOKUP(G99,'All Associates'!A:A,'All Associates'!D:D)</f>
        <v/>
      </c>
      <c r="J99" s="11">
        <f>IF(G99&lt;&gt;"","Allocated","Available")</f>
        <v/>
      </c>
    </row>
    <row r="100">
      <c r="A100" s="6" t="inlineStr">
        <is>
          <t>R</t>
        </is>
      </c>
      <c r="B100" s="6" t="n">
        <v>5</v>
      </c>
      <c r="C100" s="6" t="inlineStr">
        <is>
          <t>H</t>
        </is>
      </c>
      <c r="D100" s="12" t="inlineStr">
        <is>
          <t>02</t>
        </is>
      </c>
      <c r="E100" s="7" t="n">
        <v>1</v>
      </c>
      <c r="F100" s="7">
        <f>A100&amp;B100&amp;"-"&amp;C100&amp;E100&amp;"-"&amp;D100</f>
        <v/>
      </c>
      <c r="G100" s="6" t="n">
        <v>277</v>
      </c>
      <c r="H100" s="47">
        <f>_xlfn.XLOOKUP(G100,'All Associates'!A:A,'All Associates'!B:B)</f>
        <v/>
      </c>
      <c r="I100" s="47">
        <f>_xlfn.XLOOKUP(G100,'All Associates'!A:A,'All Associates'!D:D)</f>
        <v/>
      </c>
      <c r="J100" s="11">
        <f>IF(G100&lt;&gt;"","Allocated","Available")</f>
        <v/>
      </c>
    </row>
    <row r="101">
      <c r="A101" s="6" t="inlineStr">
        <is>
          <t>R</t>
        </is>
      </c>
      <c r="B101" s="6" t="n">
        <v>5</v>
      </c>
      <c r="C101" s="6" t="inlineStr">
        <is>
          <t>H</t>
        </is>
      </c>
      <c r="D101" s="12" t="inlineStr">
        <is>
          <t>03</t>
        </is>
      </c>
      <c r="E101" s="7" t="n">
        <v>1</v>
      </c>
      <c r="F101" s="7">
        <f>A101&amp;B101&amp;"-"&amp;C101&amp;E101&amp;"-"&amp;D101</f>
        <v/>
      </c>
      <c r="G101" s="6" t="n"/>
      <c r="H101" s="47">
        <f>_xlfn.XLOOKUP(G101,'All Associates'!A:A,'All Associates'!B:B)</f>
        <v/>
      </c>
      <c r="I101" s="47">
        <f>_xlfn.XLOOKUP(G101,'All Associates'!A:A,'All Associates'!D:D)</f>
        <v/>
      </c>
      <c r="J101" s="11">
        <f>IF(G101&lt;&gt;"","Allocated","Available")</f>
        <v/>
      </c>
    </row>
    <row r="102">
      <c r="A102" s="6" t="inlineStr">
        <is>
          <t>R</t>
        </is>
      </c>
      <c r="B102" s="6" t="n">
        <v>5</v>
      </c>
      <c r="C102" s="14" t="inlineStr">
        <is>
          <t>H</t>
        </is>
      </c>
      <c r="D102" s="15" t="inlineStr">
        <is>
          <t>04</t>
        </is>
      </c>
      <c r="E102" s="16" t="n">
        <v>1</v>
      </c>
      <c r="F102" s="7">
        <f>A102&amp;B102&amp;"-"&amp;C102&amp;E102&amp;"-"&amp;D102</f>
        <v/>
      </c>
      <c r="G102" s="6" t="n">
        <v>827</v>
      </c>
      <c r="H102" s="47">
        <f>_xlfn.XLOOKUP(G102,'All Associates'!A:A,'All Associates'!B:B)</f>
        <v/>
      </c>
      <c r="I102" s="47">
        <f>_xlfn.XLOOKUP(G102,'All Associates'!A:A,'All Associates'!D:D)</f>
        <v/>
      </c>
      <c r="J102" s="11">
        <f>IF(G102&lt;&gt;"","Allocated","Available")</f>
        <v/>
      </c>
    </row>
    <row r="103">
      <c r="A103" s="6" t="inlineStr">
        <is>
          <t>R</t>
        </is>
      </c>
      <c r="B103" s="6" t="n">
        <v>5</v>
      </c>
      <c r="C103" s="14" t="inlineStr">
        <is>
          <t>H</t>
        </is>
      </c>
      <c r="D103" s="15" t="inlineStr">
        <is>
          <t>05</t>
        </is>
      </c>
      <c r="E103" s="16" t="n">
        <v>1</v>
      </c>
      <c r="F103" s="7">
        <f>A103&amp;B103&amp;"-"&amp;C103&amp;E103&amp;"-"&amp;D103</f>
        <v/>
      </c>
      <c r="G103" s="6" t="n">
        <v>846</v>
      </c>
      <c r="H103" s="47">
        <f>_xlfn.XLOOKUP(G103,'All Associates'!A:A,'All Associates'!B:B)</f>
        <v/>
      </c>
      <c r="I103" s="47">
        <f>_xlfn.XLOOKUP(G103,'All Associates'!A:A,'All Associates'!D:D)</f>
        <v/>
      </c>
      <c r="J103" s="11">
        <f>IF(G103&lt;&gt;"","Allocated","Available")</f>
        <v/>
      </c>
    </row>
    <row r="104">
      <c r="A104" s="6" t="inlineStr">
        <is>
          <t>R</t>
        </is>
      </c>
      <c r="B104" s="6" t="n">
        <v>5</v>
      </c>
      <c r="C104" s="6" t="inlineStr">
        <is>
          <t>H</t>
        </is>
      </c>
      <c r="D104" s="12" t="inlineStr">
        <is>
          <t>06</t>
        </is>
      </c>
      <c r="E104" s="7" t="n">
        <v>1</v>
      </c>
      <c r="F104" s="7">
        <f>A104&amp;B104&amp;"-"&amp;C104&amp;E104&amp;"-"&amp;D104</f>
        <v/>
      </c>
      <c r="G104" s="6" t="n">
        <v>1148</v>
      </c>
      <c r="H104" s="47">
        <f>_xlfn.XLOOKUP(G104,'All Associates'!A:A,'All Associates'!B:B)</f>
        <v/>
      </c>
      <c r="I104" s="47">
        <f>_xlfn.XLOOKUP(G104,'All Associates'!A:A,'All Associates'!D:D)</f>
        <v/>
      </c>
      <c r="J104" s="11">
        <f>IF(G104&lt;&gt;"","Allocated","Available")</f>
        <v/>
      </c>
    </row>
    <row r="105">
      <c r="A105" s="6" t="inlineStr">
        <is>
          <t>R</t>
        </is>
      </c>
      <c r="B105" s="6" t="n">
        <v>5</v>
      </c>
      <c r="C105" s="6" t="inlineStr">
        <is>
          <t>H</t>
        </is>
      </c>
      <c r="D105" s="12" t="inlineStr">
        <is>
          <t>07</t>
        </is>
      </c>
      <c r="E105" s="7" t="n">
        <v>1</v>
      </c>
      <c r="F105" s="7">
        <f>A105&amp;B105&amp;"-"&amp;C105&amp;E105&amp;"-"&amp;D105</f>
        <v/>
      </c>
      <c r="G105" s="6" t="n">
        <v>877</v>
      </c>
      <c r="H105" s="47">
        <f>_xlfn.XLOOKUP(G105,'All Associates'!A:A,'All Associates'!B:B)</f>
        <v/>
      </c>
      <c r="I105" s="47">
        <f>_xlfn.XLOOKUP(G105,'All Associates'!A:A,'All Associates'!D:D)</f>
        <v/>
      </c>
      <c r="J105" s="11">
        <f>IF(G105&lt;&gt;"","Allocated","Available")</f>
        <v/>
      </c>
    </row>
    <row r="106">
      <c r="A106" s="6" t="inlineStr">
        <is>
          <t>R</t>
        </is>
      </c>
      <c r="B106" s="6" t="n">
        <v>5</v>
      </c>
      <c r="C106" s="6" t="inlineStr">
        <is>
          <t>H</t>
        </is>
      </c>
      <c r="D106" s="12" t="inlineStr">
        <is>
          <t>08</t>
        </is>
      </c>
      <c r="E106" s="7" t="n">
        <v>1</v>
      </c>
      <c r="F106" s="6">
        <f>A106&amp;B106&amp;"-"&amp;C106&amp;E106&amp;"-"&amp;D106</f>
        <v/>
      </c>
      <c r="G106" s="6" t="n">
        <v>1161</v>
      </c>
      <c r="H106" s="47">
        <f>_xlfn.XLOOKUP(G106,'All Associates'!A:A,'All Associates'!B:B)</f>
        <v/>
      </c>
      <c r="I106" s="47">
        <f>_xlfn.XLOOKUP(G106,'All Associates'!A:A,'All Associates'!D:D)</f>
        <v/>
      </c>
      <c r="J106" s="11">
        <f>IF(G106&lt;&gt;"","Allocated","Available")</f>
        <v/>
      </c>
    </row>
    <row r="107">
      <c r="A107" s="6" t="inlineStr">
        <is>
          <t>R</t>
        </is>
      </c>
      <c r="B107" s="6" t="n">
        <v>5</v>
      </c>
      <c r="C107" s="6" t="inlineStr">
        <is>
          <t>H</t>
        </is>
      </c>
      <c r="D107" s="12" t="inlineStr">
        <is>
          <t>01</t>
        </is>
      </c>
      <c r="E107" s="7" t="n">
        <v>2</v>
      </c>
      <c r="F107" s="7">
        <f>A107&amp;B107&amp;"-"&amp;C107&amp;E107&amp;"-"&amp;D107</f>
        <v/>
      </c>
      <c r="G107" s="6" t="n">
        <v>1115</v>
      </c>
      <c r="H107" s="47">
        <f>_xlfn.XLOOKUP(G107,'All Associates'!A:A,'All Associates'!B:B)</f>
        <v/>
      </c>
      <c r="I107" s="47">
        <f>_xlfn.XLOOKUP(G107,'All Associates'!A:A,'All Associates'!D:D)</f>
        <v/>
      </c>
      <c r="J107" s="11">
        <f>IF(G107&lt;&gt;"","Allocated","Available")</f>
        <v/>
      </c>
    </row>
    <row r="108">
      <c r="A108" s="6" t="inlineStr">
        <is>
          <t>R</t>
        </is>
      </c>
      <c r="B108" s="6" t="n">
        <v>5</v>
      </c>
      <c r="C108" s="6" t="inlineStr">
        <is>
          <t>H</t>
        </is>
      </c>
      <c r="D108" s="12" t="inlineStr">
        <is>
          <t>02</t>
        </is>
      </c>
      <c r="E108" s="7" t="n">
        <v>2</v>
      </c>
      <c r="F108" s="7">
        <f>A108&amp;B108&amp;"-"&amp;C108&amp;E108&amp;"-"&amp;D108</f>
        <v/>
      </c>
      <c r="G108" s="6" t="n">
        <v>997</v>
      </c>
      <c r="H108" s="47">
        <f>_xlfn.XLOOKUP(G108,'All Associates'!A:A,'All Associates'!B:B)</f>
        <v/>
      </c>
      <c r="I108" s="47">
        <f>_xlfn.XLOOKUP(G108,'All Associates'!A:A,'All Associates'!D:D)</f>
        <v/>
      </c>
      <c r="J108" s="11">
        <f>IF(G108&lt;&gt;"","Allocated","Available")</f>
        <v/>
      </c>
    </row>
    <row r="109">
      <c r="A109" s="6" t="inlineStr">
        <is>
          <t>R</t>
        </is>
      </c>
      <c r="B109" s="6" t="n">
        <v>5</v>
      </c>
      <c r="C109" s="6" t="inlineStr">
        <is>
          <t>H</t>
        </is>
      </c>
      <c r="D109" s="12" t="inlineStr">
        <is>
          <t>03</t>
        </is>
      </c>
      <c r="E109" s="7" t="n">
        <v>2</v>
      </c>
      <c r="F109" s="7">
        <f>A109&amp;B109&amp;"-"&amp;C109&amp;E109&amp;"-"&amp;D109</f>
        <v/>
      </c>
      <c r="G109" s="6" t="n">
        <v>380</v>
      </c>
      <c r="H109" s="47">
        <f>_xlfn.XLOOKUP(G109,'All Associates'!A:A,'All Associates'!B:B)</f>
        <v/>
      </c>
      <c r="I109" s="47">
        <f>_xlfn.XLOOKUP(G109,'All Associates'!A:A,'All Associates'!D:D)</f>
        <v/>
      </c>
      <c r="J109" s="11">
        <f>IF(G109&lt;&gt;"","Allocated","Available")</f>
        <v/>
      </c>
    </row>
    <row r="110">
      <c r="A110" s="6" t="inlineStr">
        <is>
          <t>R</t>
        </is>
      </c>
      <c r="B110" s="6" t="n">
        <v>5</v>
      </c>
      <c r="C110" s="6" t="inlineStr">
        <is>
          <t>H</t>
        </is>
      </c>
      <c r="D110" s="12" t="inlineStr">
        <is>
          <t>04</t>
        </is>
      </c>
      <c r="E110" s="7" t="n">
        <v>2</v>
      </c>
      <c r="F110" s="7">
        <f>A110&amp;B110&amp;"-"&amp;C110&amp;E110&amp;"-"&amp;D110</f>
        <v/>
      </c>
      <c r="G110" s="6" t="n">
        <v>1182</v>
      </c>
      <c r="H110" s="47">
        <f>_xlfn.XLOOKUP(G110,'All Associates'!A:A,'All Associates'!B:B)</f>
        <v/>
      </c>
      <c r="I110" s="47">
        <f>_xlfn.XLOOKUP(G110,'All Associates'!A:A,'All Associates'!D:D)</f>
        <v/>
      </c>
      <c r="J110" s="11">
        <f>IF(G110&lt;&gt;"","Allocated","Available")</f>
        <v/>
      </c>
    </row>
    <row r="111">
      <c r="A111" s="6" t="inlineStr">
        <is>
          <t>R</t>
        </is>
      </c>
      <c r="B111" s="6" t="n">
        <v>5</v>
      </c>
      <c r="C111" s="6" t="inlineStr">
        <is>
          <t>H</t>
        </is>
      </c>
      <c r="D111" s="12" t="inlineStr">
        <is>
          <t>05</t>
        </is>
      </c>
      <c r="E111" s="7" t="n">
        <v>2</v>
      </c>
      <c r="F111" s="7">
        <f>A111&amp;B111&amp;"-"&amp;C111&amp;E111&amp;"-"&amp;D111</f>
        <v/>
      </c>
      <c r="G111" s="6" t="n">
        <v>1158</v>
      </c>
      <c r="H111" s="47">
        <f>_xlfn.XLOOKUP(G111,'All Associates'!A:A,'All Associates'!B:B)</f>
        <v/>
      </c>
      <c r="I111" s="47">
        <f>_xlfn.XLOOKUP(G111,'All Associates'!A:A,'All Associates'!D:D)</f>
        <v/>
      </c>
      <c r="J111" s="11">
        <f>IF(G111&lt;&gt;"","Allocated","Available")</f>
        <v/>
      </c>
    </row>
    <row r="112">
      <c r="A112" s="6" t="inlineStr">
        <is>
          <t>R</t>
        </is>
      </c>
      <c r="B112" s="6" t="n">
        <v>5</v>
      </c>
      <c r="C112" s="6" t="inlineStr">
        <is>
          <t>H</t>
        </is>
      </c>
      <c r="D112" s="12" t="inlineStr">
        <is>
          <t>06</t>
        </is>
      </c>
      <c r="E112" s="7" t="n">
        <v>2</v>
      </c>
      <c r="F112" s="7">
        <f>A112&amp;B112&amp;"-"&amp;C112&amp;E112&amp;"-"&amp;D112</f>
        <v/>
      </c>
      <c r="G112" s="6" t="n">
        <v>1012</v>
      </c>
      <c r="H112" s="47">
        <f>_xlfn.XLOOKUP(G112,'All Associates'!A:A,'All Associates'!B:B)</f>
        <v/>
      </c>
      <c r="I112" s="47">
        <f>_xlfn.XLOOKUP(G112,'All Associates'!A:A,'All Associates'!D:D)</f>
        <v/>
      </c>
      <c r="J112" s="11">
        <f>IF(G112&lt;&gt;"","Allocated","Available")</f>
        <v/>
      </c>
    </row>
    <row r="113">
      <c r="A113" s="6" t="inlineStr">
        <is>
          <t>R</t>
        </is>
      </c>
      <c r="B113" s="6" t="n">
        <v>5</v>
      </c>
      <c r="C113" s="6" t="inlineStr">
        <is>
          <t>H</t>
        </is>
      </c>
      <c r="D113" s="12" t="inlineStr">
        <is>
          <t>07</t>
        </is>
      </c>
      <c r="E113" s="7" t="n">
        <v>2</v>
      </c>
      <c r="F113" s="7">
        <f>A113&amp;B113&amp;"-"&amp;C113&amp;E113&amp;"-"&amp;D113</f>
        <v/>
      </c>
      <c r="G113" s="6" t="n">
        <v>601</v>
      </c>
      <c r="H113" s="47">
        <f>_xlfn.XLOOKUP(G113,'All Associates'!A:A,'All Associates'!B:B)</f>
        <v/>
      </c>
      <c r="I113" s="47">
        <f>_xlfn.XLOOKUP(G113,'All Associates'!A:A,'All Associates'!D:D)</f>
        <v/>
      </c>
      <c r="J113" s="11">
        <f>IF(G113&lt;&gt;"","Allocated","Available")</f>
        <v/>
      </c>
    </row>
    <row r="114">
      <c r="A114" s="6" t="inlineStr">
        <is>
          <t>R</t>
        </is>
      </c>
      <c r="B114" s="6" t="n">
        <v>5</v>
      </c>
      <c r="C114" s="6" t="inlineStr">
        <is>
          <t>H</t>
        </is>
      </c>
      <c r="D114" s="12" t="inlineStr">
        <is>
          <t>08</t>
        </is>
      </c>
      <c r="E114" s="7" t="n">
        <v>2</v>
      </c>
      <c r="F114" s="7">
        <f>A114&amp;B114&amp;"-"&amp;C114&amp;E114&amp;"-"&amp;D114</f>
        <v/>
      </c>
      <c r="G114" s="6" t="n">
        <v>416</v>
      </c>
      <c r="H114" s="47">
        <f>_xlfn.XLOOKUP(G114,'All Associates'!A:A,'All Associates'!B:B)</f>
        <v/>
      </c>
      <c r="I114" s="47">
        <f>_xlfn.XLOOKUP(G114,'All Associates'!A:A,'All Associates'!D:D)</f>
        <v/>
      </c>
      <c r="J114" s="11">
        <f>IF(G114&lt;&gt;"","Allocated","Available")</f>
        <v/>
      </c>
    </row>
    <row r="115">
      <c r="A115" s="6" t="inlineStr">
        <is>
          <t>R</t>
        </is>
      </c>
      <c r="B115" s="6" t="n">
        <v>5</v>
      </c>
      <c r="C115" s="6" t="inlineStr">
        <is>
          <t>H</t>
        </is>
      </c>
      <c r="D115" s="12" t="inlineStr">
        <is>
          <t>01</t>
        </is>
      </c>
      <c r="E115" s="7" t="n">
        <v>3</v>
      </c>
      <c r="F115" s="7">
        <f>A115&amp;B115&amp;"-"&amp;C115&amp;E115&amp;"-"&amp;D115</f>
        <v/>
      </c>
      <c r="G115" s="6" t="n">
        <v>270</v>
      </c>
      <c r="H115" s="47">
        <f>_xlfn.XLOOKUP(G115,'All Associates'!A:A,'All Associates'!B:B)</f>
        <v/>
      </c>
      <c r="I115" s="47">
        <f>_xlfn.XLOOKUP(G115,'All Associates'!A:A,'All Associates'!D:D)</f>
        <v/>
      </c>
      <c r="J115" s="11">
        <f>IF(G115&lt;&gt;"","Allocated","Available")</f>
        <v/>
      </c>
    </row>
    <row r="116">
      <c r="A116" s="6" t="inlineStr">
        <is>
          <t>R</t>
        </is>
      </c>
      <c r="B116" s="6" t="n">
        <v>5</v>
      </c>
      <c r="C116" s="6" t="inlineStr">
        <is>
          <t>H</t>
        </is>
      </c>
      <c r="D116" s="12" t="inlineStr">
        <is>
          <t>02</t>
        </is>
      </c>
      <c r="E116" s="7" t="n">
        <v>3</v>
      </c>
      <c r="F116" s="7">
        <f>A116&amp;B116&amp;"-"&amp;C116&amp;E116&amp;"-"&amp;D116</f>
        <v/>
      </c>
      <c r="G116" s="6" t="n"/>
      <c r="H116" s="47">
        <f>_xlfn.XLOOKUP(G116,'All Associates'!A:A,'All Associates'!B:B)</f>
        <v/>
      </c>
      <c r="I116" s="47">
        <f>_xlfn.XLOOKUP(G116,'All Associates'!A:A,'All Associates'!D:D)</f>
        <v/>
      </c>
      <c r="J116" s="11">
        <f>IF(G116&lt;&gt;"","Allocated","Available")</f>
        <v/>
      </c>
    </row>
    <row r="117">
      <c r="A117" s="6" t="inlineStr">
        <is>
          <t>R</t>
        </is>
      </c>
      <c r="B117" s="6" t="n">
        <v>5</v>
      </c>
      <c r="C117" s="6" t="inlineStr">
        <is>
          <t>H</t>
        </is>
      </c>
      <c r="D117" s="12" t="inlineStr">
        <is>
          <t>03</t>
        </is>
      </c>
      <c r="E117" s="6" t="n">
        <v>3</v>
      </c>
      <c r="F117" s="6">
        <f>A117&amp;B117&amp;"-"&amp;C117&amp;E117&amp;"-"&amp;D117</f>
        <v/>
      </c>
      <c r="G117" s="6" t="n">
        <v>1091</v>
      </c>
      <c r="H117" s="47">
        <f>_xlfn.XLOOKUP(G117,'All Associates'!A:A,'All Associates'!B:B)</f>
        <v/>
      </c>
      <c r="I117" s="47">
        <f>_xlfn.XLOOKUP(G117,'All Associates'!A:A,'All Associates'!D:D)</f>
        <v/>
      </c>
      <c r="J117" s="11">
        <f>IF(G117&lt;&gt;"","Allocated","Available")</f>
        <v/>
      </c>
    </row>
    <row r="118">
      <c r="A118" s="6" t="inlineStr">
        <is>
          <t>R</t>
        </is>
      </c>
      <c r="B118" s="6" t="n">
        <v>5</v>
      </c>
      <c r="C118" s="6" t="inlineStr">
        <is>
          <t>H</t>
        </is>
      </c>
      <c r="D118" s="12" t="inlineStr">
        <is>
          <t>04</t>
        </is>
      </c>
      <c r="E118" s="7" t="n">
        <v>3</v>
      </c>
      <c r="F118" s="7">
        <f>A118&amp;B118&amp;"-"&amp;C118&amp;E118&amp;"-"&amp;D118</f>
        <v/>
      </c>
      <c r="G118" s="6" t="n">
        <v>1174</v>
      </c>
      <c r="H118" s="47">
        <f>_xlfn.XLOOKUP(G118,'All Associates'!A:A,'All Associates'!B:B)</f>
        <v/>
      </c>
      <c r="I118" s="47">
        <f>_xlfn.XLOOKUP(G118,'All Associates'!A:A,'All Associates'!D:D)</f>
        <v/>
      </c>
      <c r="J118" s="11">
        <f>IF(G118&lt;&gt;"","Allocated","Available")</f>
        <v/>
      </c>
    </row>
    <row r="119">
      <c r="A119" s="6" t="inlineStr">
        <is>
          <t>R</t>
        </is>
      </c>
      <c r="B119" s="6" t="n">
        <v>5</v>
      </c>
      <c r="C119" s="6" t="inlineStr">
        <is>
          <t>H</t>
        </is>
      </c>
      <c r="D119" s="12" t="inlineStr">
        <is>
          <t>05</t>
        </is>
      </c>
      <c r="E119" s="7" t="n">
        <v>3</v>
      </c>
      <c r="F119" s="7">
        <f>A119&amp;B119&amp;"-"&amp;C119&amp;E119&amp;"-"&amp;D119</f>
        <v/>
      </c>
      <c r="G119" s="6" t="n">
        <v>1200</v>
      </c>
      <c r="H119" s="58">
        <f>_xlfn.XLOOKUP(G119,'All Associates'!A:A,'All Associates'!B:B)</f>
        <v/>
      </c>
      <c r="I119" s="47">
        <f>_xlfn.XLOOKUP(G119,'All Associates'!A:A,'All Associates'!D:D)</f>
        <v/>
      </c>
      <c r="J119" s="11">
        <f>IF(G119&lt;&gt;"","Allocated","Available")</f>
        <v/>
      </c>
    </row>
    <row r="120">
      <c r="A120" s="6" t="inlineStr">
        <is>
          <t>R</t>
        </is>
      </c>
      <c r="B120" s="6" t="n">
        <v>5</v>
      </c>
      <c r="C120" s="6" t="inlineStr">
        <is>
          <t>H</t>
        </is>
      </c>
      <c r="D120" s="12" t="inlineStr">
        <is>
          <t>06</t>
        </is>
      </c>
      <c r="E120" s="7" t="n">
        <v>3</v>
      </c>
      <c r="F120" s="7">
        <f>A120&amp;B120&amp;"-"&amp;C120&amp;E120&amp;"-"&amp;D120</f>
        <v/>
      </c>
      <c r="G120" s="6" t="n"/>
      <c r="H120" s="58">
        <f>_xlfn.XLOOKUP(G120,'All Associates'!A:A,'All Associates'!B:B)</f>
        <v/>
      </c>
      <c r="I120" s="47">
        <f>_xlfn.XLOOKUP(G120,'All Associates'!A:A,'All Associates'!D:D)</f>
        <v/>
      </c>
      <c r="J120" s="11">
        <f>IF(G120&lt;&gt;"","Allocated","Available")</f>
        <v/>
      </c>
    </row>
    <row r="121">
      <c r="A121" s="6" t="inlineStr">
        <is>
          <t>R</t>
        </is>
      </c>
      <c r="B121" s="6" t="n">
        <v>5</v>
      </c>
      <c r="C121" s="6" t="inlineStr">
        <is>
          <t>H</t>
        </is>
      </c>
      <c r="D121" s="12" t="inlineStr">
        <is>
          <t>07</t>
        </is>
      </c>
      <c r="E121" s="7" t="n">
        <v>3</v>
      </c>
      <c r="F121" s="7">
        <f>A121&amp;B121&amp;"-"&amp;C121&amp;E121&amp;"-"&amp;D121</f>
        <v/>
      </c>
      <c r="G121" s="6" t="n">
        <v>755</v>
      </c>
      <c r="H121" s="58">
        <f>_xlfn.XLOOKUP(G121,'All Associates'!A:A,'All Associates'!B:B)</f>
        <v/>
      </c>
      <c r="I121" s="47">
        <f>_xlfn.XLOOKUP(G121,'All Associates'!A:A,'All Associates'!D:D)</f>
        <v/>
      </c>
      <c r="J121" s="11">
        <f>IF(G121&lt;&gt;"","Allocated","Available")</f>
        <v/>
      </c>
    </row>
    <row r="122">
      <c r="A122" s="6" t="inlineStr">
        <is>
          <t>R</t>
        </is>
      </c>
      <c r="B122" s="6" t="n">
        <v>5</v>
      </c>
      <c r="C122" s="6" t="inlineStr">
        <is>
          <t>H</t>
        </is>
      </c>
      <c r="D122" s="12" t="inlineStr">
        <is>
          <t>04</t>
        </is>
      </c>
      <c r="E122" s="7" t="n">
        <v>4</v>
      </c>
      <c r="F122" s="6">
        <f>A122&amp;B122&amp;"-"&amp;C122&amp;E122&amp;"-"&amp;D122</f>
        <v/>
      </c>
      <c r="G122" s="6" t="n">
        <v>1118</v>
      </c>
      <c r="H122" s="58">
        <f>_xlfn.XLOOKUP(G122,'All Associates'!A:A,'All Associates'!B:B)</f>
        <v/>
      </c>
      <c r="I122" s="47">
        <f>_xlfn.XLOOKUP(G122,'All Associates'!A:A,'All Associates'!D:D)</f>
        <v/>
      </c>
      <c r="J122" s="11">
        <f>IF(G122&lt;&gt;"","Allocated","Available")</f>
        <v/>
      </c>
    </row>
    <row r="123">
      <c r="A123" s="6" t="inlineStr">
        <is>
          <t>R</t>
        </is>
      </c>
      <c r="B123" s="6" t="n">
        <v>5</v>
      </c>
      <c r="C123" s="6" t="inlineStr">
        <is>
          <t>H</t>
        </is>
      </c>
      <c r="D123" s="12" t="inlineStr">
        <is>
          <t>02</t>
        </is>
      </c>
      <c r="E123" s="7" t="n">
        <v>4</v>
      </c>
      <c r="F123" s="7">
        <f>A123&amp;B123&amp;"-"&amp;C123&amp;E123&amp;"-"&amp;D123</f>
        <v/>
      </c>
      <c r="G123" s="6" t="n">
        <v>1001</v>
      </c>
      <c r="H123" s="58">
        <f>_xlfn.XLOOKUP(G123,'All Associates'!A:A,'All Associates'!B:B)</f>
        <v/>
      </c>
      <c r="I123" s="47">
        <f>_xlfn.XLOOKUP(G123,'All Associates'!A:A,'All Associates'!D:D)</f>
        <v/>
      </c>
      <c r="J123" s="11">
        <f>IF(G123&lt;&gt;"","Allocated","Available")</f>
        <v/>
      </c>
    </row>
    <row r="124">
      <c r="A124" s="6" t="inlineStr">
        <is>
          <t>R</t>
        </is>
      </c>
      <c r="B124" s="6" t="n">
        <v>5</v>
      </c>
      <c r="C124" s="6" t="inlineStr">
        <is>
          <t>H</t>
        </is>
      </c>
      <c r="D124" s="12" t="inlineStr">
        <is>
          <t>05</t>
        </is>
      </c>
      <c r="E124" s="7" t="n">
        <v>4</v>
      </c>
      <c r="F124" s="7">
        <f>A124&amp;B124&amp;"-"&amp;C124&amp;E124&amp;"-"&amp;D124</f>
        <v/>
      </c>
      <c r="G124" s="6" t="n"/>
      <c r="H124" s="58">
        <f>_xlfn.XLOOKUP(G124,'All Associates'!A:A,'All Associates'!B:B)</f>
        <v/>
      </c>
      <c r="I124" s="47">
        <f>_xlfn.XLOOKUP(G124,'All Associates'!A:A,'All Associates'!D:D)</f>
        <v/>
      </c>
      <c r="J124" s="11">
        <f>IF(G124&lt;&gt;"","Allocated","Available")</f>
        <v/>
      </c>
    </row>
    <row r="125">
      <c r="A125" s="6" t="inlineStr">
        <is>
          <t>R</t>
        </is>
      </c>
      <c r="B125" s="6" t="n">
        <v>5</v>
      </c>
      <c r="C125" s="6" t="inlineStr">
        <is>
          <t>H</t>
        </is>
      </c>
      <c r="D125" s="12" t="inlineStr">
        <is>
          <t>04</t>
        </is>
      </c>
      <c r="E125" s="7" t="n">
        <v>4</v>
      </c>
      <c r="F125" s="7">
        <f>A125&amp;B125&amp;"-"&amp;C125&amp;E125&amp;"-"&amp;D125</f>
        <v/>
      </c>
      <c r="G125" s="6" t="n">
        <v>1237</v>
      </c>
      <c r="H125" s="58">
        <f>_xlfn.XLOOKUP(G125,'All Associates'!A:A,'All Associates'!B:B)</f>
        <v/>
      </c>
      <c r="I125" s="47">
        <f>_xlfn.XLOOKUP(G125,'All Associates'!A:A,'All Associates'!D:D)</f>
        <v/>
      </c>
      <c r="J125" s="11">
        <f>IF(G125&lt;&gt;"","Allocated","Available")</f>
        <v/>
      </c>
    </row>
    <row r="126">
      <c r="A126" s="6" t="inlineStr">
        <is>
          <t>R</t>
        </is>
      </c>
      <c r="B126" s="6" t="n">
        <v>5</v>
      </c>
      <c r="C126" s="6" t="inlineStr">
        <is>
          <t>H</t>
        </is>
      </c>
      <c r="D126" s="12" t="inlineStr">
        <is>
          <t>03</t>
        </is>
      </c>
      <c r="E126" s="7" t="n">
        <v>4</v>
      </c>
      <c r="F126" s="7">
        <f>A126&amp;B126&amp;"-"&amp;C126&amp;E126&amp;"-"&amp;D126</f>
        <v/>
      </c>
      <c r="G126" s="6" t="n">
        <v>1141</v>
      </c>
      <c r="H126" s="58">
        <f>_xlfn.XLOOKUP(G126,'All Associates'!A:A,'All Associates'!B:B)</f>
        <v/>
      </c>
      <c r="I126" s="47">
        <f>_xlfn.XLOOKUP(G126,'All Associates'!A:A,'All Associates'!D:D)</f>
        <v/>
      </c>
      <c r="J126" s="11">
        <f>IF(G126&lt;&gt;"","Allocated","Available")</f>
        <v/>
      </c>
    </row>
    <row r="127">
      <c r="A127" s="6" t="inlineStr">
        <is>
          <t>R</t>
        </is>
      </c>
      <c r="B127" s="6" t="n">
        <v>5</v>
      </c>
      <c r="C127" s="6" t="inlineStr">
        <is>
          <t>H</t>
        </is>
      </c>
      <c r="D127" s="12" t="inlineStr">
        <is>
          <t>06</t>
        </is>
      </c>
      <c r="E127" s="7" t="n">
        <v>4</v>
      </c>
      <c r="F127" s="7">
        <f>A127&amp;B127&amp;"-"&amp;C127&amp;E127&amp;"-"&amp;D127</f>
        <v/>
      </c>
      <c r="G127" s="6" t="n">
        <v>1236</v>
      </c>
      <c r="H127" s="58">
        <f>_xlfn.XLOOKUP(G127,'All Associates'!A:A,'All Associates'!B:B)</f>
        <v/>
      </c>
      <c r="I127" s="47">
        <f>_xlfn.XLOOKUP(G127,'All Associates'!A:A,'All Associates'!D:D)</f>
        <v/>
      </c>
      <c r="J127" s="11">
        <f>IF(G127&lt;&gt;"","Allocated","Available")</f>
        <v/>
      </c>
    </row>
    <row r="128">
      <c r="A128" s="6" t="inlineStr">
        <is>
          <t>R</t>
        </is>
      </c>
      <c r="B128" s="6" t="n">
        <v>5</v>
      </c>
      <c r="C128" s="6" t="inlineStr">
        <is>
          <t>H</t>
        </is>
      </c>
      <c r="D128" s="12" t="inlineStr">
        <is>
          <t>07</t>
        </is>
      </c>
      <c r="E128" s="7" t="n">
        <v>4</v>
      </c>
      <c r="F128" s="7">
        <f>A128&amp;B128&amp;"-"&amp;C128&amp;E128&amp;"-"&amp;D128</f>
        <v/>
      </c>
      <c r="G128" s="6" t="n"/>
      <c r="H128" s="58">
        <f>_xlfn.XLOOKUP(G128,'All Associates'!A:A,'All Associates'!B:B)</f>
        <v/>
      </c>
      <c r="I128" s="47">
        <f>_xlfn.XLOOKUP(G128,'All Associates'!A:A,'All Associates'!D:D)</f>
        <v/>
      </c>
      <c r="J128" s="11">
        <f>IF(G128&lt;&gt;"","Allocated","Available")</f>
        <v/>
      </c>
    </row>
    <row r="129">
      <c r="A129" s="6" t="inlineStr">
        <is>
          <t>R</t>
        </is>
      </c>
      <c r="B129" s="6" t="n">
        <v>5</v>
      </c>
      <c r="C129" s="6" t="inlineStr">
        <is>
          <t>H</t>
        </is>
      </c>
      <c r="D129" s="12" t="inlineStr">
        <is>
          <t>08</t>
        </is>
      </c>
      <c r="E129" s="7" t="n">
        <v>4</v>
      </c>
      <c r="F129" s="7">
        <f>A129&amp;B129&amp;"-"&amp;C129&amp;E129&amp;"-"&amp;D129</f>
        <v/>
      </c>
      <c r="G129" s="6" t="n"/>
      <c r="H129" s="58">
        <f>_xlfn.XLOOKUP(G129,'All Associates'!A:A,'All Associates'!B:B)</f>
        <v/>
      </c>
      <c r="I129" s="47">
        <f>_xlfn.XLOOKUP(G129,'All Associates'!A:A,'All Associates'!D:D)</f>
        <v/>
      </c>
      <c r="J129" s="11">
        <f>IF(G129&lt;&gt;"","Allocated","Available")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0CdX+Ismy3xttsBqKiF5XQ==" formatRows="1" sort="0" spinCount="100000" hashValue="AGqceJttjAvLQIkOQvTVK7IZq4G1lyzYIGE9e+Vh56I8QOTw8ztTKY4LqgVIG+Rvo6eRCwj14RjnKb0YosCxrw=="/>
  <autoFilter ref="A1:J127"/>
  <conditionalFormatting sqref="G1:G1048576">
    <cfRule type="duplicateValues" priority="1" dxfId="0"/>
  </conditionalFormatting>
  <hyperlinks>
    <hyperlink xmlns:r="http://schemas.openxmlformats.org/officeDocument/2006/relationships" ref="M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1"/>
    <outlinePr summaryBelow="1" summaryRight="1"/>
    <pageSetUpPr/>
  </sheetPr>
  <dimension ref="A1:F708"/>
  <sheetViews>
    <sheetView workbookViewId="0">
      <pane ySplit="1" topLeftCell="A678" activePane="bottomLeft" state="frozen"/>
      <selection pane="bottomLeft" activeCell="A1" sqref="A1:G1048576"/>
    </sheetView>
  </sheetViews>
  <sheetFormatPr baseColWidth="8" defaultColWidth="8.7109375" defaultRowHeight="15"/>
  <cols>
    <col hidden="1" outlineLevel="1" min="1" max="3"/>
    <col hidden="1" outlineLevel="1" width="13.7109375" customWidth="1" min="4" max="4"/>
    <col hidden="1" outlineLevel="1" width="10" customWidth="1" min="5" max="5"/>
    <col hidden="1" outlineLevel="1" width="13.7109375" customWidth="1" min="6" max="6"/>
    <col hidden="1" outlineLevel="1" min="7" max="7"/>
    <col collapsed="1" width="8.7109375" customWidth="1" min="8" max="8"/>
  </cols>
  <sheetData>
    <row r="1" ht="38.1" customHeight="1">
      <c r="A1" s="5" t="inlineStr">
        <is>
          <t>Building</t>
        </is>
      </c>
      <c r="B1" s="5" t="inlineStr">
        <is>
          <t>Floor</t>
        </is>
      </c>
      <c r="C1" s="5" t="inlineStr">
        <is>
          <t>Area</t>
        </is>
      </c>
      <c r="D1" s="5" t="inlineStr">
        <is>
          <t>Desk Number</t>
        </is>
      </c>
      <c r="E1" s="5" t="inlineStr">
        <is>
          <t>Row</t>
        </is>
      </c>
      <c r="F1" s="5" t="inlineStr">
        <is>
          <t>Desk number - Final</t>
        </is>
      </c>
    </row>
    <row r="2">
      <c r="A2" s="6" t="inlineStr">
        <is>
          <t>T</t>
        </is>
      </c>
      <c r="B2" s="6" t="n">
        <v>3</v>
      </c>
      <c r="C2" s="7" t="inlineStr">
        <is>
          <t>A</t>
        </is>
      </c>
      <c r="D2" s="12" t="inlineStr">
        <is>
          <t>01</t>
        </is>
      </c>
      <c r="E2" s="7" t="n">
        <v>1</v>
      </c>
      <c r="F2" s="7">
        <f>A2&amp;B2&amp;"-"&amp;C2&amp;E2&amp;"-"&amp;D2</f>
        <v/>
      </c>
    </row>
    <row r="3">
      <c r="A3" s="6" t="inlineStr">
        <is>
          <t>T</t>
        </is>
      </c>
      <c r="B3" s="6" t="n">
        <v>3</v>
      </c>
      <c r="C3" s="7" t="inlineStr">
        <is>
          <t>A</t>
        </is>
      </c>
      <c r="D3" s="12" t="inlineStr">
        <is>
          <t>02</t>
        </is>
      </c>
      <c r="E3" s="7" t="n">
        <v>1</v>
      </c>
      <c r="F3" s="7">
        <f>A3&amp;B3&amp;"-"&amp;C3&amp;E3&amp;"-"&amp;D3</f>
        <v/>
      </c>
    </row>
    <row r="4">
      <c r="A4" s="6" t="inlineStr">
        <is>
          <t>T</t>
        </is>
      </c>
      <c r="B4" s="6" t="n">
        <v>3</v>
      </c>
      <c r="C4" s="7" t="inlineStr">
        <is>
          <t>A</t>
        </is>
      </c>
      <c r="D4" s="12" t="inlineStr">
        <is>
          <t>03</t>
        </is>
      </c>
      <c r="E4" s="7" t="n">
        <v>1</v>
      </c>
      <c r="F4" s="7">
        <f>A4&amp;B4&amp;"-"&amp;C4&amp;E4&amp;"-"&amp;D4</f>
        <v/>
      </c>
    </row>
    <row r="5">
      <c r="A5" s="6" t="inlineStr">
        <is>
          <t>T</t>
        </is>
      </c>
      <c r="B5" s="6" t="n">
        <v>3</v>
      </c>
      <c r="C5" s="7" t="inlineStr">
        <is>
          <t>A</t>
        </is>
      </c>
      <c r="D5" s="12" t="inlineStr">
        <is>
          <t>04</t>
        </is>
      </c>
      <c r="E5" s="7" t="n">
        <v>1</v>
      </c>
      <c r="F5" s="7">
        <f>A5&amp;B5&amp;"-"&amp;C5&amp;E5&amp;"-"&amp;D5</f>
        <v/>
      </c>
    </row>
    <row r="6">
      <c r="A6" s="6" t="inlineStr">
        <is>
          <t>T</t>
        </is>
      </c>
      <c r="B6" s="6" t="n">
        <v>3</v>
      </c>
      <c r="C6" s="7" t="inlineStr">
        <is>
          <t>A</t>
        </is>
      </c>
      <c r="D6" s="12" t="inlineStr">
        <is>
          <t>05</t>
        </is>
      </c>
      <c r="E6" s="7" t="n">
        <v>1</v>
      </c>
      <c r="F6" s="7">
        <f>A6&amp;B6&amp;"-"&amp;C6&amp;E6&amp;"-"&amp;D6</f>
        <v/>
      </c>
    </row>
    <row r="7">
      <c r="A7" s="6" t="inlineStr">
        <is>
          <t>T</t>
        </is>
      </c>
      <c r="B7" s="6" t="n">
        <v>3</v>
      </c>
      <c r="C7" s="7" t="inlineStr">
        <is>
          <t>A</t>
        </is>
      </c>
      <c r="D7" s="12" t="inlineStr">
        <is>
          <t>06</t>
        </is>
      </c>
      <c r="E7" s="7" t="n">
        <v>1</v>
      </c>
      <c r="F7" s="7">
        <f>A7&amp;B7&amp;"-"&amp;C7&amp;E7&amp;"-"&amp;D7</f>
        <v/>
      </c>
    </row>
    <row r="8">
      <c r="A8" s="6" t="inlineStr">
        <is>
          <t>T</t>
        </is>
      </c>
      <c r="B8" s="6" t="n">
        <v>3</v>
      </c>
      <c r="C8" s="7" t="inlineStr">
        <is>
          <t>A</t>
        </is>
      </c>
      <c r="D8" s="12" t="inlineStr">
        <is>
          <t>07</t>
        </is>
      </c>
      <c r="E8" s="7" t="n">
        <v>1</v>
      </c>
      <c r="F8" s="7">
        <f>A8&amp;B8&amp;"-"&amp;C8&amp;E8&amp;"-"&amp;D8</f>
        <v/>
      </c>
    </row>
    <row r="9">
      <c r="A9" s="6" t="inlineStr">
        <is>
          <t>T</t>
        </is>
      </c>
      <c r="B9" s="6" t="n">
        <v>3</v>
      </c>
      <c r="C9" s="7" t="inlineStr">
        <is>
          <t>A</t>
        </is>
      </c>
      <c r="D9" s="12" t="inlineStr">
        <is>
          <t>08</t>
        </is>
      </c>
      <c r="E9" s="7" t="n">
        <v>1</v>
      </c>
      <c r="F9" s="7">
        <f>A9&amp;B9&amp;"-"&amp;C9&amp;E9&amp;"-"&amp;D9</f>
        <v/>
      </c>
    </row>
    <row r="10">
      <c r="A10" s="6" t="inlineStr">
        <is>
          <t>T</t>
        </is>
      </c>
      <c r="B10" s="6" t="n">
        <v>3</v>
      </c>
      <c r="C10" s="7" t="inlineStr">
        <is>
          <t>A</t>
        </is>
      </c>
      <c r="D10" s="12" t="inlineStr">
        <is>
          <t>01</t>
        </is>
      </c>
      <c r="E10" s="7" t="n">
        <v>2</v>
      </c>
      <c r="F10" s="7">
        <f>A10&amp;B10&amp;"-"&amp;C10&amp;E10&amp;"-"&amp;D10</f>
        <v/>
      </c>
    </row>
    <row r="11">
      <c r="A11" s="6" t="inlineStr">
        <is>
          <t>T</t>
        </is>
      </c>
      <c r="B11" s="6" t="n">
        <v>3</v>
      </c>
      <c r="C11" s="7" t="inlineStr">
        <is>
          <t>A</t>
        </is>
      </c>
      <c r="D11" s="12" t="inlineStr">
        <is>
          <t>02</t>
        </is>
      </c>
      <c r="E11" s="7" t="n">
        <v>2</v>
      </c>
      <c r="F11" s="7">
        <f>A11&amp;B11&amp;"-"&amp;C11&amp;E11&amp;"-"&amp;D11</f>
        <v/>
      </c>
    </row>
    <row r="12">
      <c r="A12" s="6" t="inlineStr">
        <is>
          <t>T</t>
        </is>
      </c>
      <c r="B12" s="6" t="n">
        <v>3</v>
      </c>
      <c r="C12" s="7" t="inlineStr">
        <is>
          <t>A</t>
        </is>
      </c>
      <c r="D12" s="12" t="inlineStr">
        <is>
          <t>03</t>
        </is>
      </c>
      <c r="E12" s="7" t="n">
        <v>2</v>
      </c>
      <c r="F12" s="7">
        <f>A12&amp;B12&amp;"-"&amp;C12&amp;E12&amp;"-"&amp;D12</f>
        <v/>
      </c>
    </row>
    <row r="13">
      <c r="A13" s="6" t="inlineStr">
        <is>
          <t>T</t>
        </is>
      </c>
      <c r="B13" s="6" t="n">
        <v>3</v>
      </c>
      <c r="C13" s="7" t="inlineStr">
        <is>
          <t>A</t>
        </is>
      </c>
      <c r="D13" s="12" t="inlineStr">
        <is>
          <t>04</t>
        </is>
      </c>
      <c r="E13" s="7" t="n">
        <v>2</v>
      </c>
      <c r="F13" s="7">
        <f>A13&amp;B13&amp;"-"&amp;C13&amp;E13&amp;"-"&amp;D13</f>
        <v/>
      </c>
    </row>
    <row r="14">
      <c r="A14" s="6" t="inlineStr">
        <is>
          <t>T</t>
        </is>
      </c>
      <c r="B14" s="6" t="n">
        <v>3</v>
      </c>
      <c r="C14" s="7" t="inlineStr">
        <is>
          <t>A</t>
        </is>
      </c>
      <c r="D14" s="12" t="inlineStr">
        <is>
          <t>05</t>
        </is>
      </c>
      <c r="E14" s="7" t="n">
        <v>2</v>
      </c>
      <c r="F14" s="7">
        <f>A14&amp;B14&amp;"-"&amp;C14&amp;E14&amp;"-"&amp;D14</f>
        <v/>
      </c>
    </row>
    <row r="15">
      <c r="A15" s="6" t="inlineStr">
        <is>
          <t>T</t>
        </is>
      </c>
      <c r="B15" s="6" t="n">
        <v>3</v>
      </c>
      <c r="C15" s="7" t="inlineStr">
        <is>
          <t>A</t>
        </is>
      </c>
      <c r="D15" s="12" t="inlineStr">
        <is>
          <t>06</t>
        </is>
      </c>
      <c r="E15" s="7" t="n">
        <v>2</v>
      </c>
      <c r="F15" s="7">
        <f>A15&amp;B15&amp;"-"&amp;C15&amp;E15&amp;"-"&amp;D15</f>
        <v/>
      </c>
    </row>
    <row r="16">
      <c r="A16" s="6" t="inlineStr">
        <is>
          <t>T</t>
        </is>
      </c>
      <c r="B16" s="6" t="n">
        <v>3</v>
      </c>
      <c r="C16" s="7" t="inlineStr">
        <is>
          <t>A</t>
        </is>
      </c>
      <c r="D16" s="12" t="inlineStr">
        <is>
          <t>07</t>
        </is>
      </c>
      <c r="E16" s="7" t="n">
        <v>2</v>
      </c>
      <c r="F16" s="7">
        <f>A16&amp;B16&amp;"-"&amp;C16&amp;E16&amp;"-"&amp;D16</f>
        <v/>
      </c>
    </row>
    <row r="17">
      <c r="A17" s="6" t="inlineStr">
        <is>
          <t>T</t>
        </is>
      </c>
      <c r="B17" s="6" t="n">
        <v>3</v>
      </c>
      <c r="C17" s="7" t="inlineStr">
        <is>
          <t>A</t>
        </is>
      </c>
      <c r="D17" s="12" t="inlineStr">
        <is>
          <t>08</t>
        </is>
      </c>
      <c r="E17" s="7" t="n">
        <v>2</v>
      </c>
      <c r="F17" s="7">
        <f>A17&amp;B17&amp;"-"&amp;C17&amp;E17&amp;"-"&amp;D17</f>
        <v/>
      </c>
    </row>
    <row r="18">
      <c r="A18" s="6" t="inlineStr">
        <is>
          <t>T</t>
        </is>
      </c>
      <c r="B18" s="6" t="n">
        <v>3</v>
      </c>
      <c r="C18" s="7" t="inlineStr">
        <is>
          <t>A</t>
        </is>
      </c>
      <c r="D18" s="12" t="inlineStr">
        <is>
          <t>01</t>
        </is>
      </c>
      <c r="E18" s="7" t="n">
        <v>3</v>
      </c>
      <c r="F18" s="7">
        <f>A18&amp;B18&amp;"-"&amp;C18&amp;E18&amp;"-"&amp;D18</f>
        <v/>
      </c>
    </row>
    <row r="19">
      <c r="A19" s="8" t="inlineStr">
        <is>
          <t>T</t>
        </is>
      </c>
      <c r="B19" s="8" t="n">
        <v>3</v>
      </c>
      <c r="C19" s="9" t="inlineStr">
        <is>
          <t>A</t>
        </is>
      </c>
      <c r="D19" s="13" t="inlineStr">
        <is>
          <t>01</t>
        </is>
      </c>
      <c r="E19" s="9" t="inlineStr">
        <is>
          <t>M</t>
        </is>
      </c>
      <c r="F19" s="9">
        <f>A19&amp;B19&amp;"-"&amp;C19&amp;E19&amp;"-"&amp;D19</f>
        <v/>
      </c>
    </row>
    <row r="20">
      <c r="A20" s="6" t="inlineStr">
        <is>
          <t>T</t>
        </is>
      </c>
      <c r="B20" s="6" t="n">
        <v>3</v>
      </c>
      <c r="C20" s="7" t="inlineStr">
        <is>
          <t>B</t>
        </is>
      </c>
      <c r="D20" s="12" t="inlineStr">
        <is>
          <t>01</t>
        </is>
      </c>
      <c r="E20" s="7" t="n">
        <v>1</v>
      </c>
      <c r="F20" s="7">
        <f>A20&amp;B20&amp;"-"&amp;C20&amp;E20&amp;"-"&amp;D20</f>
        <v/>
      </c>
    </row>
    <row r="21">
      <c r="A21" s="6" t="inlineStr">
        <is>
          <t>T</t>
        </is>
      </c>
      <c r="B21" s="6" t="n">
        <v>3</v>
      </c>
      <c r="C21" s="7" t="inlineStr">
        <is>
          <t>B</t>
        </is>
      </c>
      <c r="D21" s="12" t="inlineStr">
        <is>
          <t>02</t>
        </is>
      </c>
      <c r="E21" s="7" t="n">
        <v>1</v>
      </c>
      <c r="F21" s="7">
        <f>A21&amp;B21&amp;"-"&amp;C21&amp;E21&amp;"-"&amp;D21</f>
        <v/>
      </c>
    </row>
    <row r="22">
      <c r="A22" s="6" t="inlineStr">
        <is>
          <t>T</t>
        </is>
      </c>
      <c r="B22" s="6" t="n">
        <v>3</v>
      </c>
      <c r="C22" s="7" t="inlineStr">
        <is>
          <t>B</t>
        </is>
      </c>
      <c r="D22" s="12" t="inlineStr">
        <is>
          <t>03</t>
        </is>
      </c>
      <c r="E22" s="7" t="n">
        <v>1</v>
      </c>
      <c r="F22" s="7">
        <f>A22&amp;B22&amp;"-"&amp;C22&amp;E22&amp;"-"&amp;D22</f>
        <v/>
      </c>
    </row>
    <row r="23">
      <c r="A23" s="6" t="inlineStr">
        <is>
          <t>T</t>
        </is>
      </c>
      <c r="B23" s="6" t="n">
        <v>3</v>
      </c>
      <c r="C23" s="7" t="inlineStr">
        <is>
          <t>B</t>
        </is>
      </c>
      <c r="D23" s="12" t="inlineStr">
        <is>
          <t>04</t>
        </is>
      </c>
      <c r="E23" s="7" t="n">
        <v>1</v>
      </c>
      <c r="F23" s="7">
        <f>A23&amp;B23&amp;"-"&amp;C23&amp;E23&amp;"-"&amp;D23</f>
        <v/>
      </c>
    </row>
    <row r="24">
      <c r="A24" s="8" t="inlineStr">
        <is>
          <t>T</t>
        </is>
      </c>
      <c r="B24" s="8" t="n">
        <v>3</v>
      </c>
      <c r="C24" s="9" t="inlineStr">
        <is>
          <t>B</t>
        </is>
      </c>
      <c r="D24" s="13" t="inlineStr">
        <is>
          <t>02</t>
        </is>
      </c>
      <c r="E24" s="9" t="inlineStr">
        <is>
          <t>M</t>
        </is>
      </c>
      <c r="F24" s="9">
        <f>A24&amp;B24&amp;"-"&amp;C24&amp;E24&amp;"-"&amp;D24</f>
        <v/>
      </c>
    </row>
    <row r="25">
      <c r="A25" s="6" t="inlineStr">
        <is>
          <t>T</t>
        </is>
      </c>
      <c r="B25" s="6" t="n">
        <v>3</v>
      </c>
      <c r="C25" s="7" t="inlineStr">
        <is>
          <t>C</t>
        </is>
      </c>
      <c r="D25" s="12" t="inlineStr">
        <is>
          <t>01</t>
        </is>
      </c>
      <c r="E25" s="7" t="n">
        <v>1</v>
      </c>
      <c r="F25" s="7">
        <f>A25&amp;B25&amp;"-"&amp;C25&amp;E25&amp;"-"&amp;D25</f>
        <v/>
      </c>
    </row>
    <row r="26">
      <c r="A26" s="6" t="inlineStr">
        <is>
          <t>T</t>
        </is>
      </c>
      <c r="B26" s="6" t="n">
        <v>3</v>
      </c>
      <c r="C26" s="7" t="inlineStr">
        <is>
          <t>C</t>
        </is>
      </c>
      <c r="D26" s="12" t="inlineStr">
        <is>
          <t>02</t>
        </is>
      </c>
      <c r="E26" s="7" t="n">
        <v>1</v>
      </c>
      <c r="F26" s="7">
        <f>A26&amp;B26&amp;"-"&amp;C26&amp;E26&amp;"-"&amp;D26</f>
        <v/>
      </c>
    </row>
    <row r="27">
      <c r="A27" s="6" t="inlineStr">
        <is>
          <t>T</t>
        </is>
      </c>
      <c r="B27" s="6" t="n">
        <v>3</v>
      </c>
      <c r="C27" s="7" t="inlineStr">
        <is>
          <t>C</t>
        </is>
      </c>
      <c r="D27" s="12" t="inlineStr">
        <is>
          <t>03</t>
        </is>
      </c>
      <c r="E27" s="7" t="n">
        <v>1</v>
      </c>
      <c r="F27" s="7">
        <f>A27&amp;B27&amp;"-"&amp;C27&amp;E27&amp;"-"&amp;D27</f>
        <v/>
      </c>
    </row>
    <row r="28">
      <c r="A28" s="6" t="inlineStr">
        <is>
          <t>T</t>
        </is>
      </c>
      <c r="B28" s="6" t="n">
        <v>3</v>
      </c>
      <c r="C28" s="7" t="inlineStr">
        <is>
          <t>C</t>
        </is>
      </c>
      <c r="D28" s="12" t="inlineStr">
        <is>
          <t>04</t>
        </is>
      </c>
      <c r="E28" s="7" t="n">
        <v>1</v>
      </c>
      <c r="F28" s="7">
        <f>A28&amp;B28&amp;"-"&amp;C28&amp;E28&amp;"-"&amp;D28</f>
        <v/>
      </c>
    </row>
    <row r="29">
      <c r="A29" s="6" t="inlineStr">
        <is>
          <t>T</t>
        </is>
      </c>
      <c r="B29" s="6" t="n">
        <v>3</v>
      </c>
      <c r="C29" s="7" t="inlineStr">
        <is>
          <t>C</t>
        </is>
      </c>
      <c r="D29" s="12" t="inlineStr">
        <is>
          <t>05</t>
        </is>
      </c>
      <c r="E29" s="7" t="n">
        <v>1</v>
      </c>
      <c r="F29" s="7">
        <f>A29&amp;B29&amp;"-"&amp;C29&amp;E29&amp;"-"&amp;D29</f>
        <v/>
      </c>
    </row>
    <row r="30">
      <c r="A30" s="6" t="inlineStr">
        <is>
          <t>T</t>
        </is>
      </c>
      <c r="B30" s="6" t="n">
        <v>3</v>
      </c>
      <c r="C30" s="7" t="inlineStr">
        <is>
          <t>C</t>
        </is>
      </c>
      <c r="D30" s="12" t="inlineStr">
        <is>
          <t>06</t>
        </is>
      </c>
      <c r="E30" s="7" t="n">
        <v>1</v>
      </c>
      <c r="F30" s="7">
        <f>A30&amp;B30&amp;"-"&amp;C30&amp;E30&amp;"-"&amp;D30</f>
        <v/>
      </c>
    </row>
    <row r="31">
      <c r="A31" s="6" t="inlineStr">
        <is>
          <t>T</t>
        </is>
      </c>
      <c r="B31" s="6" t="n">
        <v>3</v>
      </c>
      <c r="C31" s="7" t="inlineStr">
        <is>
          <t>C</t>
        </is>
      </c>
      <c r="D31" s="12" t="inlineStr">
        <is>
          <t>07</t>
        </is>
      </c>
      <c r="E31" s="7" t="n">
        <v>1</v>
      </c>
      <c r="F31" s="7">
        <f>A31&amp;B31&amp;"-"&amp;C31&amp;E31&amp;"-"&amp;D31</f>
        <v/>
      </c>
    </row>
    <row r="32">
      <c r="A32" s="6" t="inlineStr">
        <is>
          <t>T</t>
        </is>
      </c>
      <c r="B32" s="6" t="n">
        <v>3</v>
      </c>
      <c r="C32" s="7" t="inlineStr">
        <is>
          <t>C</t>
        </is>
      </c>
      <c r="D32" s="12" t="inlineStr">
        <is>
          <t>08</t>
        </is>
      </c>
      <c r="E32" s="7" t="n">
        <v>1</v>
      </c>
      <c r="F32" s="7">
        <f>A32&amp;B32&amp;"-"&amp;C32&amp;E32&amp;"-"&amp;D32</f>
        <v/>
      </c>
    </row>
    <row r="33">
      <c r="A33" s="6" t="inlineStr">
        <is>
          <t>T</t>
        </is>
      </c>
      <c r="B33" s="6" t="n">
        <v>3</v>
      </c>
      <c r="C33" s="7" t="inlineStr">
        <is>
          <t>C</t>
        </is>
      </c>
      <c r="D33" s="12" t="inlineStr">
        <is>
          <t>01</t>
        </is>
      </c>
      <c r="E33" s="7" t="n">
        <v>2</v>
      </c>
      <c r="F33" s="7">
        <f>A33&amp;B33&amp;"-"&amp;C33&amp;E33&amp;"-"&amp;D33</f>
        <v/>
      </c>
    </row>
    <row r="34">
      <c r="A34" s="6" t="inlineStr">
        <is>
          <t>T</t>
        </is>
      </c>
      <c r="B34" s="6" t="n">
        <v>3</v>
      </c>
      <c r="C34" s="7" t="inlineStr">
        <is>
          <t>C</t>
        </is>
      </c>
      <c r="D34" s="12" t="inlineStr">
        <is>
          <t>02</t>
        </is>
      </c>
      <c r="E34" s="7" t="n">
        <v>2</v>
      </c>
      <c r="F34" s="7">
        <f>A34&amp;B34&amp;"-"&amp;C34&amp;E34&amp;"-"&amp;D34</f>
        <v/>
      </c>
    </row>
    <row r="35">
      <c r="A35" s="6" t="inlineStr">
        <is>
          <t>T</t>
        </is>
      </c>
      <c r="B35" s="6" t="n">
        <v>3</v>
      </c>
      <c r="C35" s="7" t="inlineStr">
        <is>
          <t>C</t>
        </is>
      </c>
      <c r="D35" s="12" t="inlineStr">
        <is>
          <t>03</t>
        </is>
      </c>
      <c r="E35" s="7" t="n">
        <v>2</v>
      </c>
      <c r="F35" s="7">
        <f>A35&amp;B35&amp;"-"&amp;C35&amp;E35&amp;"-"&amp;D35</f>
        <v/>
      </c>
    </row>
    <row r="36">
      <c r="A36" s="6" t="inlineStr">
        <is>
          <t>T</t>
        </is>
      </c>
      <c r="B36" s="6" t="n">
        <v>3</v>
      </c>
      <c r="C36" s="7" t="inlineStr">
        <is>
          <t>C</t>
        </is>
      </c>
      <c r="D36" s="12" t="inlineStr">
        <is>
          <t>04</t>
        </is>
      </c>
      <c r="E36" s="7" t="n">
        <v>2</v>
      </c>
      <c r="F36" s="7">
        <f>A36&amp;B36&amp;"-"&amp;C36&amp;E36&amp;"-"&amp;D36</f>
        <v/>
      </c>
    </row>
    <row r="37">
      <c r="A37" s="6" t="inlineStr">
        <is>
          <t>T</t>
        </is>
      </c>
      <c r="B37" s="6" t="n">
        <v>3</v>
      </c>
      <c r="C37" s="7" t="inlineStr">
        <is>
          <t>C</t>
        </is>
      </c>
      <c r="D37" s="12" t="inlineStr">
        <is>
          <t>05</t>
        </is>
      </c>
      <c r="E37" s="7" t="n">
        <v>2</v>
      </c>
      <c r="F37" s="7">
        <f>A37&amp;B37&amp;"-"&amp;C37&amp;E37&amp;"-"&amp;D37</f>
        <v/>
      </c>
    </row>
    <row r="38">
      <c r="A38" s="6" t="inlineStr">
        <is>
          <t>T</t>
        </is>
      </c>
      <c r="B38" s="6" t="n">
        <v>3</v>
      </c>
      <c r="C38" s="7" t="inlineStr">
        <is>
          <t>C</t>
        </is>
      </c>
      <c r="D38" s="12" t="inlineStr">
        <is>
          <t>06</t>
        </is>
      </c>
      <c r="E38" s="7" t="n">
        <v>2</v>
      </c>
      <c r="F38" s="7">
        <f>A38&amp;B38&amp;"-"&amp;C38&amp;E38&amp;"-"&amp;D38</f>
        <v/>
      </c>
    </row>
    <row r="39">
      <c r="A39" s="6" t="inlineStr">
        <is>
          <t>T</t>
        </is>
      </c>
      <c r="B39" s="6" t="n">
        <v>3</v>
      </c>
      <c r="C39" s="7" t="inlineStr">
        <is>
          <t>C</t>
        </is>
      </c>
      <c r="D39" s="12" t="inlineStr">
        <is>
          <t>07</t>
        </is>
      </c>
      <c r="E39" s="7" t="n">
        <v>2</v>
      </c>
      <c r="F39" s="7">
        <f>A39&amp;B39&amp;"-"&amp;C39&amp;E39&amp;"-"&amp;D39</f>
        <v/>
      </c>
    </row>
    <row r="40">
      <c r="A40" s="6" t="inlineStr">
        <is>
          <t>T</t>
        </is>
      </c>
      <c r="B40" s="6" t="n">
        <v>3</v>
      </c>
      <c r="C40" s="7" t="inlineStr">
        <is>
          <t>C</t>
        </is>
      </c>
      <c r="D40" s="12" t="inlineStr">
        <is>
          <t>08</t>
        </is>
      </c>
      <c r="E40" s="7" t="n">
        <v>2</v>
      </c>
      <c r="F40" s="7">
        <f>A40&amp;B40&amp;"-"&amp;C40&amp;E40&amp;"-"&amp;D40</f>
        <v/>
      </c>
    </row>
    <row r="41">
      <c r="A41" s="6" t="inlineStr">
        <is>
          <t>T</t>
        </is>
      </c>
      <c r="B41" s="6" t="n">
        <v>3</v>
      </c>
      <c r="C41" s="7" t="inlineStr">
        <is>
          <t>C</t>
        </is>
      </c>
      <c r="D41" s="12" t="inlineStr">
        <is>
          <t>01</t>
        </is>
      </c>
      <c r="E41" s="7" t="n">
        <v>3</v>
      </c>
      <c r="F41" s="7">
        <f>A41&amp;B41&amp;"-"&amp;C41&amp;E41&amp;"-"&amp;D41</f>
        <v/>
      </c>
    </row>
    <row r="42">
      <c r="A42" s="6" t="inlineStr">
        <is>
          <t>T</t>
        </is>
      </c>
      <c r="B42" s="6" t="n">
        <v>3</v>
      </c>
      <c r="C42" s="7" t="inlineStr">
        <is>
          <t>C</t>
        </is>
      </c>
      <c r="D42" s="12" t="inlineStr">
        <is>
          <t>02</t>
        </is>
      </c>
      <c r="E42" s="7" t="n">
        <v>3</v>
      </c>
      <c r="F42" s="7">
        <f>A42&amp;B42&amp;"-"&amp;C42&amp;E42&amp;"-"&amp;D42</f>
        <v/>
      </c>
    </row>
    <row r="43">
      <c r="A43" s="6" t="inlineStr">
        <is>
          <t>T</t>
        </is>
      </c>
      <c r="B43" s="6" t="n">
        <v>3</v>
      </c>
      <c r="C43" s="7" t="inlineStr">
        <is>
          <t>C</t>
        </is>
      </c>
      <c r="D43" s="12" t="inlineStr">
        <is>
          <t>03</t>
        </is>
      </c>
      <c r="E43" s="7" t="n">
        <v>3</v>
      </c>
      <c r="F43" s="7">
        <f>A43&amp;B43&amp;"-"&amp;C43&amp;E43&amp;"-"&amp;D43</f>
        <v/>
      </c>
    </row>
    <row r="44">
      <c r="A44" s="6" t="inlineStr">
        <is>
          <t>T</t>
        </is>
      </c>
      <c r="B44" s="6" t="n">
        <v>3</v>
      </c>
      <c r="C44" s="7" t="inlineStr">
        <is>
          <t>C</t>
        </is>
      </c>
      <c r="D44" s="12" t="inlineStr">
        <is>
          <t>04</t>
        </is>
      </c>
      <c r="E44" s="7" t="n">
        <v>3</v>
      </c>
      <c r="F44" s="7">
        <f>A44&amp;B44&amp;"-"&amp;C44&amp;E44&amp;"-"&amp;D44</f>
        <v/>
      </c>
    </row>
    <row r="45">
      <c r="A45" s="6" t="inlineStr">
        <is>
          <t>T</t>
        </is>
      </c>
      <c r="B45" s="6" t="n">
        <v>3</v>
      </c>
      <c r="C45" s="7" t="inlineStr">
        <is>
          <t>C</t>
        </is>
      </c>
      <c r="D45" s="12" t="inlineStr">
        <is>
          <t>05</t>
        </is>
      </c>
      <c r="E45" s="7" t="n">
        <v>3</v>
      </c>
      <c r="F45" s="7">
        <f>A45&amp;B45&amp;"-"&amp;C45&amp;E45&amp;"-"&amp;D45</f>
        <v/>
      </c>
    </row>
    <row r="46">
      <c r="A46" s="6" t="inlineStr">
        <is>
          <t>T</t>
        </is>
      </c>
      <c r="B46" s="6" t="n">
        <v>3</v>
      </c>
      <c r="C46" s="7" t="inlineStr">
        <is>
          <t>C</t>
        </is>
      </c>
      <c r="D46" s="12" t="inlineStr">
        <is>
          <t>06</t>
        </is>
      </c>
      <c r="E46" s="7" t="n">
        <v>3</v>
      </c>
      <c r="F46" s="7">
        <f>A46&amp;B46&amp;"-"&amp;C46&amp;E46&amp;"-"&amp;D46</f>
        <v/>
      </c>
    </row>
    <row r="47">
      <c r="A47" s="6" t="inlineStr">
        <is>
          <t>T</t>
        </is>
      </c>
      <c r="B47" s="6" t="n">
        <v>3</v>
      </c>
      <c r="C47" s="7" t="inlineStr">
        <is>
          <t>C</t>
        </is>
      </c>
      <c r="D47" s="12" t="inlineStr">
        <is>
          <t>01</t>
        </is>
      </c>
      <c r="E47" s="7" t="n">
        <v>4</v>
      </c>
      <c r="F47" s="7">
        <f>A47&amp;B47&amp;"-"&amp;C47&amp;E47&amp;"-"&amp;D47</f>
        <v/>
      </c>
    </row>
    <row r="48">
      <c r="A48" s="6" t="inlineStr">
        <is>
          <t>T</t>
        </is>
      </c>
      <c r="B48" s="6" t="n">
        <v>3</v>
      </c>
      <c r="C48" s="7" t="inlineStr">
        <is>
          <t>C</t>
        </is>
      </c>
      <c r="D48" s="12" t="inlineStr">
        <is>
          <t>02</t>
        </is>
      </c>
      <c r="E48" s="7" t="n">
        <v>4</v>
      </c>
      <c r="F48" s="7">
        <f>A48&amp;B48&amp;"-"&amp;C48&amp;E48&amp;"-"&amp;D48</f>
        <v/>
      </c>
    </row>
    <row r="49">
      <c r="A49" s="6" t="inlineStr">
        <is>
          <t>T</t>
        </is>
      </c>
      <c r="B49" s="6" t="n">
        <v>3</v>
      </c>
      <c r="C49" s="7" t="inlineStr">
        <is>
          <t>C</t>
        </is>
      </c>
      <c r="D49" s="12" t="inlineStr">
        <is>
          <t>03</t>
        </is>
      </c>
      <c r="E49" s="7" t="n">
        <v>4</v>
      </c>
      <c r="F49" s="7">
        <f>A49&amp;B49&amp;"-"&amp;C49&amp;E49&amp;"-"&amp;D49</f>
        <v/>
      </c>
    </row>
    <row r="50">
      <c r="A50" s="6" t="inlineStr">
        <is>
          <t>T</t>
        </is>
      </c>
      <c r="B50" s="6" t="n">
        <v>3</v>
      </c>
      <c r="C50" s="7" t="inlineStr">
        <is>
          <t>C</t>
        </is>
      </c>
      <c r="D50" s="12" t="inlineStr">
        <is>
          <t>04</t>
        </is>
      </c>
      <c r="E50" s="7" t="n">
        <v>4</v>
      </c>
      <c r="F50" s="7">
        <f>A50&amp;B50&amp;"-"&amp;C50&amp;E50&amp;"-"&amp;D50</f>
        <v/>
      </c>
    </row>
    <row r="51">
      <c r="A51" s="6" t="inlineStr">
        <is>
          <t>T</t>
        </is>
      </c>
      <c r="B51" s="6" t="n">
        <v>3</v>
      </c>
      <c r="C51" s="7" t="inlineStr">
        <is>
          <t>C</t>
        </is>
      </c>
      <c r="D51" s="12" t="inlineStr">
        <is>
          <t>05</t>
        </is>
      </c>
      <c r="E51" s="7" t="n">
        <v>4</v>
      </c>
      <c r="F51" s="7">
        <f>A51&amp;B51&amp;"-"&amp;C51&amp;E51&amp;"-"&amp;D51</f>
        <v/>
      </c>
    </row>
    <row r="52">
      <c r="A52" s="6" t="inlineStr">
        <is>
          <t>T</t>
        </is>
      </c>
      <c r="B52" s="6" t="n">
        <v>3</v>
      </c>
      <c r="C52" s="7" t="inlineStr">
        <is>
          <t>C</t>
        </is>
      </c>
      <c r="D52" s="12" t="inlineStr">
        <is>
          <t>06</t>
        </is>
      </c>
      <c r="E52" s="7" t="n">
        <v>4</v>
      </c>
      <c r="F52" s="7">
        <f>A52&amp;B52&amp;"-"&amp;C52&amp;E52&amp;"-"&amp;D52</f>
        <v/>
      </c>
    </row>
    <row r="53">
      <c r="A53" s="6" t="inlineStr">
        <is>
          <t>T</t>
        </is>
      </c>
      <c r="B53" s="6" t="n">
        <v>3</v>
      </c>
      <c r="C53" s="7" t="inlineStr">
        <is>
          <t>C</t>
        </is>
      </c>
      <c r="D53" s="12" t="inlineStr">
        <is>
          <t>01</t>
        </is>
      </c>
      <c r="E53" s="7" t="n">
        <v>5</v>
      </c>
      <c r="F53" s="7">
        <f>A53&amp;B53&amp;"-"&amp;C53&amp;E53&amp;"-"&amp;D53</f>
        <v/>
      </c>
    </row>
    <row r="54">
      <c r="A54" s="6" t="inlineStr">
        <is>
          <t>T</t>
        </is>
      </c>
      <c r="B54" s="6" t="n">
        <v>3</v>
      </c>
      <c r="C54" s="7" t="inlineStr">
        <is>
          <t>C</t>
        </is>
      </c>
      <c r="D54" s="12" t="inlineStr">
        <is>
          <t>02</t>
        </is>
      </c>
      <c r="E54" s="7" t="n">
        <v>5</v>
      </c>
      <c r="F54" s="7">
        <f>A54&amp;B54&amp;"-"&amp;C54&amp;E54&amp;"-"&amp;D54</f>
        <v/>
      </c>
    </row>
    <row r="55">
      <c r="A55" s="6" t="inlineStr">
        <is>
          <t>T</t>
        </is>
      </c>
      <c r="B55" s="6" t="n">
        <v>3</v>
      </c>
      <c r="C55" s="7" t="inlineStr">
        <is>
          <t>C</t>
        </is>
      </c>
      <c r="D55" s="12" t="inlineStr">
        <is>
          <t>03</t>
        </is>
      </c>
      <c r="E55" s="7" t="n">
        <v>5</v>
      </c>
      <c r="F55" s="7">
        <f>A55&amp;B55&amp;"-"&amp;C55&amp;E55&amp;"-"&amp;D55</f>
        <v/>
      </c>
    </row>
    <row r="56">
      <c r="A56" s="6" t="inlineStr">
        <is>
          <t>T</t>
        </is>
      </c>
      <c r="B56" s="6" t="n">
        <v>3</v>
      </c>
      <c r="C56" s="7" t="inlineStr">
        <is>
          <t>C</t>
        </is>
      </c>
      <c r="D56" s="12" t="inlineStr">
        <is>
          <t>04</t>
        </is>
      </c>
      <c r="E56" s="7" t="n">
        <v>5</v>
      </c>
      <c r="F56" s="7">
        <f>A56&amp;B56&amp;"-"&amp;C56&amp;E56&amp;"-"&amp;D56</f>
        <v/>
      </c>
    </row>
    <row r="57">
      <c r="A57" s="6" t="inlineStr">
        <is>
          <t>T</t>
        </is>
      </c>
      <c r="B57" s="6" t="n">
        <v>3</v>
      </c>
      <c r="C57" s="7" t="inlineStr">
        <is>
          <t>C</t>
        </is>
      </c>
      <c r="D57" s="12" t="inlineStr">
        <is>
          <t>05</t>
        </is>
      </c>
      <c r="E57" s="7" t="n">
        <v>5</v>
      </c>
      <c r="F57" s="7">
        <f>A57&amp;B57&amp;"-"&amp;C57&amp;E57&amp;"-"&amp;D57</f>
        <v/>
      </c>
    </row>
    <row r="58">
      <c r="A58" s="6" t="inlineStr">
        <is>
          <t>T</t>
        </is>
      </c>
      <c r="B58" s="6" t="n">
        <v>3</v>
      </c>
      <c r="C58" s="7" t="inlineStr">
        <is>
          <t>C</t>
        </is>
      </c>
      <c r="D58" s="12" t="inlineStr">
        <is>
          <t>06</t>
        </is>
      </c>
      <c r="E58" s="7" t="n">
        <v>5</v>
      </c>
      <c r="F58" s="7">
        <f>A58&amp;B58&amp;"-"&amp;C58&amp;E58&amp;"-"&amp;D58</f>
        <v/>
      </c>
    </row>
    <row r="59">
      <c r="A59" s="6" t="inlineStr">
        <is>
          <t>T</t>
        </is>
      </c>
      <c r="B59" s="6" t="n">
        <v>3</v>
      </c>
      <c r="C59" s="7" t="inlineStr">
        <is>
          <t>C</t>
        </is>
      </c>
      <c r="D59" s="12" t="inlineStr">
        <is>
          <t>01</t>
        </is>
      </c>
      <c r="E59" s="7" t="n">
        <v>6</v>
      </c>
      <c r="F59" s="7">
        <f>A59&amp;B59&amp;"-"&amp;C59&amp;E59&amp;"-"&amp;D59</f>
        <v/>
      </c>
    </row>
    <row r="60">
      <c r="A60" s="6" t="inlineStr">
        <is>
          <t>T</t>
        </is>
      </c>
      <c r="B60" s="6" t="n">
        <v>3</v>
      </c>
      <c r="C60" s="7" t="inlineStr">
        <is>
          <t>C</t>
        </is>
      </c>
      <c r="D60" s="12" t="inlineStr">
        <is>
          <t>02</t>
        </is>
      </c>
      <c r="E60" s="7" t="n">
        <v>6</v>
      </c>
      <c r="F60" s="7">
        <f>A60&amp;B60&amp;"-"&amp;C60&amp;E60&amp;"-"&amp;D60</f>
        <v/>
      </c>
    </row>
    <row r="61">
      <c r="A61" s="6" t="inlineStr">
        <is>
          <t>T</t>
        </is>
      </c>
      <c r="B61" s="6" t="n">
        <v>3</v>
      </c>
      <c r="C61" s="7" t="inlineStr">
        <is>
          <t>C</t>
        </is>
      </c>
      <c r="D61" s="12" t="inlineStr">
        <is>
          <t>03</t>
        </is>
      </c>
      <c r="E61" s="7" t="n">
        <v>6</v>
      </c>
      <c r="F61" s="7">
        <f>A61&amp;B61&amp;"-"&amp;C61&amp;E61&amp;"-"&amp;D61</f>
        <v/>
      </c>
    </row>
    <row r="62">
      <c r="A62" s="6" t="inlineStr">
        <is>
          <t>T</t>
        </is>
      </c>
      <c r="B62" s="6" t="n">
        <v>3</v>
      </c>
      <c r="C62" s="7" t="inlineStr">
        <is>
          <t>C</t>
        </is>
      </c>
      <c r="D62" s="12" t="inlineStr">
        <is>
          <t>04</t>
        </is>
      </c>
      <c r="E62" s="7" t="n">
        <v>6</v>
      </c>
      <c r="F62" s="7">
        <f>A62&amp;B62&amp;"-"&amp;C62&amp;E62&amp;"-"&amp;D62</f>
        <v/>
      </c>
    </row>
    <row r="63">
      <c r="A63" s="6" t="inlineStr">
        <is>
          <t>T</t>
        </is>
      </c>
      <c r="B63" s="6" t="n">
        <v>3</v>
      </c>
      <c r="C63" s="7" t="inlineStr">
        <is>
          <t>C</t>
        </is>
      </c>
      <c r="D63" s="12" t="inlineStr">
        <is>
          <t>05</t>
        </is>
      </c>
      <c r="E63" s="7" t="n">
        <v>6</v>
      </c>
      <c r="F63" s="7">
        <f>A63&amp;B63&amp;"-"&amp;C63&amp;E63&amp;"-"&amp;D63</f>
        <v/>
      </c>
    </row>
    <row r="64">
      <c r="A64" s="6" t="inlineStr">
        <is>
          <t>T</t>
        </is>
      </c>
      <c r="B64" s="6" t="n">
        <v>3</v>
      </c>
      <c r="C64" s="7" t="inlineStr">
        <is>
          <t>C</t>
        </is>
      </c>
      <c r="D64" s="12" t="inlineStr">
        <is>
          <t>06</t>
        </is>
      </c>
      <c r="E64" s="7" t="n">
        <v>6</v>
      </c>
      <c r="F64" s="7">
        <f>A64&amp;B64&amp;"-"&amp;C64&amp;E64&amp;"-"&amp;D64</f>
        <v/>
      </c>
    </row>
    <row r="65">
      <c r="A65" s="21" t="inlineStr">
        <is>
          <t>T</t>
        </is>
      </c>
      <c r="B65" s="21" t="n">
        <v>3</v>
      </c>
      <c r="C65" s="22" t="inlineStr">
        <is>
          <t>C</t>
        </is>
      </c>
      <c r="D65" s="23" t="inlineStr">
        <is>
          <t>01</t>
        </is>
      </c>
      <c r="E65" s="22" t="n">
        <v>7</v>
      </c>
      <c r="F65" s="22">
        <f>A65&amp;B65&amp;"-"&amp;C65&amp;E65&amp;"-"&amp;D65</f>
        <v/>
      </c>
    </row>
    <row r="66">
      <c r="A66" s="8" t="inlineStr">
        <is>
          <t>T</t>
        </is>
      </c>
      <c r="B66" s="8" t="n">
        <v>3</v>
      </c>
      <c r="C66" s="9" t="inlineStr">
        <is>
          <t>D</t>
        </is>
      </c>
      <c r="D66" s="13" t="inlineStr">
        <is>
          <t>03</t>
        </is>
      </c>
      <c r="E66" s="9" t="inlineStr">
        <is>
          <t>M</t>
        </is>
      </c>
      <c r="F66" s="9">
        <f>A66&amp;B66&amp;"-"&amp;C66&amp;E66&amp;"-"&amp;D66</f>
        <v/>
      </c>
    </row>
    <row r="67">
      <c r="A67" s="8" t="inlineStr">
        <is>
          <t>T</t>
        </is>
      </c>
      <c r="B67" s="8" t="n">
        <v>3</v>
      </c>
      <c r="C67" s="8" t="inlineStr">
        <is>
          <t>D</t>
        </is>
      </c>
      <c r="D67" s="13" t="inlineStr">
        <is>
          <t>04</t>
        </is>
      </c>
      <c r="E67" s="9" t="inlineStr">
        <is>
          <t>M</t>
        </is>
      </c>
      <c r="F67" s="9">
        <f>A67&amp;B67&amp;"-"&amp;C67&amp;E67&amp;"-"&amp;D67</f>
        <v/>
      </c>
    </row>
    <row r="68">
      <c r="A68" s="8" t="inlineStr">
        <is>
          <t>T</t>
        </is>
      </c>
      <c r="B68" s="8" t="n">
        <v>3</v>
      </c>
      <c r="C68" s="8" t="inlineStr">
        <is>
          <t>D</t>
        </is>
      </c>
      <c r="D68" s="13" t="inlineStr">
        <is>
          <t>05</t>
        </is>
      </c>
      <c r="E68" s="9" t="inlineStr">
        <is>
          <t>M</t>
        </is>
      </c>
      <c r="F68" s="9">
        <f>A68&amp;B68&amp;"-"&amp;C68&amp;E68&amp;"-"&amp;D68</f>
        <v/>
      </c>
    </row>
    <row r="69">
      <c r="A69" s="8" t="inlineStr">
        <is>
          <t>T</t>
        </is>
      </c>
      <c r="B69" s="8" t="n">
        <v>3</v>
      </c>
      <c r="C69" s="8" t="inlineStr">
        <is>
          <t>D</t>
        </is>
      </c>
      <c r="D69" s="13" t="inlineStr">
        <is>
          <t>06</t>
        </is>
      </c>
      <c r="E69" s="9" t="inlineStr">
        <is>
          <t>M</t>
        </is>
      </c>
      <c r="F69" s="9">
        <f>A69&amp;B69&amp;"-"&amp;C69&amp;E69&amp;"-"&amp;D69</f>
        <v/>
      </c>
    </row>
    <row r="70">
      <c r="A70" s="6" t="inlineStr">
        <is>
          <t>T</t>
        </is>
      </c>
      <c r="B70" s="6" t="n">
        <v>3</v>
      </c>
      <c r="C70" s="6" t="inlineStr">
        <is>
          <t>D</t>
        </is>
      </c>
      <c r="D70" s="12" t="inlineStr">
        <is>
          <t>01</t>
        </is>
      </c>
      <c r="E70" s="7" t="n">
        <v>1</v>
      </c>
      <c r="F70" s="7">
        <f>A70&amp;B70&amp;"-"&amp;C70&amp;E70&amp;"-"&amp;D70</f>
        <v/>
      </c>
    </row>
    <row r="71">
      <c r="A71" s="6" t="inlineStr">
        <is>
          <t>T</t>
        </is>
      </c>
      <c r="B71" s="6" t="n">
        <v>3</v>
      </c>
      <c r="C71" s="6" t="inlineStr">
        <is>
          <t>D</t>
        </is>
      </c>
      <c r="D71" s="12" t="inlineStr">
        <is>
          <t>02</t>
        </is>
      </c>
      <c r="E71" s="7" t="n">
        <v>1</v>
      </c>
      <c r="F71" s="7">
        <f>A71&amp;B71&amp;"-"&amp;C71&amp;E71&amp;"-"&amp;D71</f>
        <v/>
      </c>
    </row>
    <row r="72">
      <c r="A72" s="6" t="inlineStr">
        <is>
          <t>T</t>
        </is>
      </c>
      <c r="B72" s="6" t="n">
        <v>3</v>
      </c>
      <c r="C72" s="6" t="inlineStr">
        <is>
          <t>D</t>
        </is>
      </c>
      <c r="D72" s="12" t="inlineStr">
        <is>
          <t>03</t>
        </is>
      </c>
      <c r="E72" s="7" t="n">
        <v>1</v>
      </c>
      <c r="F72" s="7">
        <f>A72&amp;B72&amp;"-"&amp;C72&amp;E72&amp;"-"&amp;D72</f>
        <v/>
      </c>
    </row>
    <row r="73">
      <c r="A73" s="6" t="inlineStr">
        <is>
          <t>T</t>
        </is>
      </c>
      <c r="B73" s="6" t="n">
        <v>3</v>
      </c>
      <c r="C73" s="6" t="inlineStr">
        <is>
          <t>D</t>
        </is>
      </c>
      <c r="D73" s="12" t="inlineStr">
        <is>
          <t>04</t>
        </is>
      </c>
      <c r="E73" s="7" t="n">
        <v>1</v>
      </c>
      <c r="F73" s="7">
        <f>A73&amp;B73&amp;"-"&amp;C73&amp;E73&amp;"-"&amp;D73</f>
        <v/>
      </c>
    </row>
    <row r="74">
      <c r="A74" s="6" t="inlineStr">
        <is>
          <t>T</t>
        </is>
      </c>
      <c r="B74" s="6" t="n">
        <v>3</v>
      </c>
      <c r="C74" s="6" t="inlineStr">
        <is>
          <t>D</t>
        </is>
      </c>
      <c r="D74" s="12" t="inlineStr">
        <is>
          <t>05</t>
        </is>
      </c>
      <c r="E74" s="7" t="n">
        <v>1</v>
      </c>
      <c r="F74" s="7">
        <f>A74&amp;B74&amp;"-"&amp;C74&amp;E74&amp;"-"&amp;D74</f>
        <v/>
      </c>
    </row>
    <row r="75">
      <c r="A75" s="6" t="inlineStr">
        <is>
          <t>T</t>
        </is>
      </c>
      <c r="B75" s="6" t="n">
        <v>3</v>
      </c>
      <c r="C75" s="6" t="inlineStr">
        <is>
          <t>D</t>
        </is>
      </c>
      <c r="D75" s="12" t="inlineStr">
        <is>
          <t>06</t>
        </is>
      </c>
      <c r="E75" s="7" t="n">
        <v>1</v>
      </c>
      <c r="F75" s="7">
        <f>A75&amp;B75&amp;"-"&amp;C75&amp;E75&amp;"-"&amp;D75</f>
        <v/>
      </c>
    </row>
    <row r="76">
      <c r="A76" s="6" t="inlineStr">
        <is>
          <t>T</t>
        </is>
      </c>
      <c r="B76" s="6" t="n">
        <v>3</v>
      </c>
      <c r="C76" s="6" t="inlineStr">
        <is>
          <t>D</t>
        </is>
      </c>
      <c r="D76" s="12" t="inlineStr">
        <is>
          <t>01</t>
        </is>
      </c>
      <c r="E76" s="7" t="n">
        <v>2</v>
      </c>
      <c r="F76" s="7">
        <f>A76&amp;B76&amp;"-"&amp;C76&amp;E76&amp;"-"&amp;D76</f>
        <v/>
      </c>
    </row>
    <row r="77">
      <c r="A77" s="6" t="inlineStr">
        <is>
          <t>T</t>
        </is>
      </c>
      <c r="B77" s="6" t="n">
        <v>3</v>
      </c>
      <c r="C77" s="6" t="inlineStr">
        <is>
          <t>D</t>
        </is>
      </c>
      <c r="D77" s="12" t="inlineStr">
        <is>
          <t>02</t>
        </is>
      </c>
      <c r="E77" s="7" t="n">
        <v>2</v>
      </c>
      <c r="F77" s="7">
        <f>A77&amp;B77&amp;"-"&amp;C77&amp;E77&amp;"-"&amp;D77</f>
        <v/>
      </c>
    </row>
    <row r="78">
      <c r="A78" s="6" t="inlineStr">
        <is>
          <t>T</t>
        </is>
      </c>
      <c r="B78" s="6" t="n">
        <v>3</v>
      </c>
      <c r="C78" s="6" t="inlineStr">
        <is>
          <t>D</t>
        </is>
      </c>
      <c r="D78" s="12" t="inlineStr">
        <is>
          <t>03</t>
        </is>
      </c>
      <c r="E78" s="7" t="n">
        <v>2</v>
      </c>
      <c r="F78" s="7">
        <f>A78&amp;B78&amp;"-"&amp;C78&amp;E78&amp;"-"&amp;D78</f>
        <v/>
      </c>
    </row>
    <row r="79">
      <c r="A79" s="6" t="inlineStr">
        <is>
          <t>T</t>
        </is>
      </c>
      <c r="B79" s="6" t="n">
        <v>3</v>
      </c>
      <c r="C79" s="6" t="inlineStr">
        <is>
          <t>D</t>
        </is>
      </c>
      <c r="D79" s="12" t="inlineStr">
        <is>
          <t>04</t>
        </is>
      </c>
      <c r="E79" s="7" t="n">
        <v>2</v>
      </c>
      <c r="F79" s="7">
        <f>A79&amp;B79&amp;"-"&amp;C79&amp;E79&amp;"-"&amp;D79</f>
        <v/>
      </c>
    </row>
    <row r="80">
      <c r="A80" s="6" t="inlineStr">
        <is>
          <t>T</t>
        </is>
      </c>
      <c r="B80" s="6" t="n">
        <v>3</v>
      </c>
      <c r="C80" s="6" t="inlineStr">
        <is>
          <t>D</t>
        </is>
      </c>
      <c r="D80" s="12" t="inlineStr">
        <is>
          <t>05</t>
        </is>
      </c>
      <c r="E80" s="7" t="n">
        <v>2</v>
      </c>
      <c r="F80" s="7">
        <f>A80&amp;B80&amp;"-"&amp;C80&amp;E80&amp;"-"&amp;D80</f>
        <v/>
      </c>
    </row>
    <row r="81">
      <c r="A81" s="6" t="inlineStr">
        <is>
          <t>T</t>
        </is>
      </c>
      <c r="B81" s="6" t="n">
        <v>3</v>
      </c>
      <c r="C81" s="6" t="inlineStr">
        <is>
          <t>D</t>
        </is>
      </c>
      <c r="D81" s="12" t="inlineStr">
        <is>
          <t>06</t>
        </is>
      </c>
      <c r="E81" s="7" t="n">
        <v>2</v>
      </c>
      <c r="F81" s="7">
        <f>A81&amp;B81&amp;"-"&amp;C81&amp;E81&amp;"-"&amp;D81</f>
        <v/>
      </c>
    </row>
    <row r="82">
      <c r="A82" s="6" t="inlineStr">
        <is>
          <t>T</t>
        </is>
      </c>
      <c r="B82" s="6" t="n">
        <v>4</v>
      </c>
      <c r="C82" s="7" t="inlineStr">
        <is>
          <t>A</t>
        </is>
      </c>
      <c r="D82" s="7" t="inlineStr">
        <is>
          <t>01</t>
        </is>
      </c>
      <c r="E82" s="7" t="n">
        <v>1</v>
      </c>
      <c r="F82" s="7">
        <f>A82&amp;B82&amp;"-"&amp;C82&amp;E82&amp;"-"&amp;D82</f>
        <v/>
      </c>
    </row>
    <row r="83">
      <c r="A83" s="6" t="inlineStr">
        <is>
          <t>T</t>
        </is>
      </c>
      <c r="B83" s="6" t="n">
        <v>4</v>
      </c>
      <c r="C83" s="7" t="inlineStr">
        <is>
          <t>A</t>
        </is>
      </c>
      <c r="D83" s="7" t="inlineStr">
        <is>
          <t>02</t>
        </is>
      </c>
      <c r="E83" s="7" t="n">
        <v>1</v>
      </c>
      <c r="F83" s="7">
        <f>A83&amp;B83&amp;"-"&amp;C83&amp;E83&amp;"-"&amp;D83</f>
        <v/>
      </c>
    </row>
    <row r="84">
      <c r="A84" s="6" t="inlineStr">
        <is>
          <t>T</t>
        </is>
      </c>
      <c r="B84" s="6" t="n">
        <v>4</v>
      </c>
      <c r="C84" s="7" t="inlineStr">
        <is>
          <t>A</t>
        </is>
      </c>
      <c r="D84" s="7" t="inlineStr">
        <is>
          <t>03</t>
        </is>
      </c>
      <c r="E84" s="7" t="n">
        <v>1</v>
      </c>
      <c r="F84" s="7">
        <f>A84&amp;B84&amp;"-"&amp;C84&amp;E84&amp;"-"&amp;D84</f>
        <v/>
      </c>
    </row>
    <row r="85">
      <c r="A85" s="6" t="inlineStr">
        <is>
          <t>T</t>
        </is>
      </c>
      <c r="B85" s="6" t="n">
        <v>4</v>
      </c>
      <c r="C85" s="7" t="inlineStr">
        <is>
          <t>A</t>
        </is>
      </c>
      <c r="D85" s="7" t="inlineStr">
        <is>
          <t>04</t>
        </is>
      </c>
      <c r="E85" s="7" t="n">
        <v>1</v>
      </c>
      <c r="F85" s="7">
        <f>A85&amp;B85&amp;"-"&amp;C85&amp;E85&amp;"-"&amp;D85</f>
        <v/>
      </c>
    </row>
    <row r="86">
      <c r="A86" s="6" t="inlineStr">
        <is>
          <t>T</t>
        </is>
      </c>
      <c r="B86" s="6" t="n">
        <v>4</v>
      </c>
      <c r="C86" s="7" t="inlineStr">
        <is>
          <t>A</t>
        </is>
      </c>
      <c r="D86" s="7" t="inlineStr">
        <is>
          <t>05</t>
        </is>
      </c>
      <c r="E86" s="7" t="n">
        <v>1</v>
      </c>
      <c r="F86" s="7">
        <f>A86&amp;B86&amp;"-"&amp;C86&amp;E86&amp;"-"&amp;D86</f>
        <v/>
      </c>
    </row>
    <row r="87">
      <c r="A87" s="6" t="inlineStr">
        <is>
          <t>T</t>
        </is>
      </c>
      <c r="B87" s="6" t="n">
        <v>4</v>
      </c>
      <c r="C87" s="7" t="inlineStr">
        <is>
          <t>A</t>
        </is>
      </c>
      <c r="D87" s="7" t="inlineStr">
        <is>
          <t>06</t>
        </is>
      </c>
      <c r="E87" s="7" t="n">
        <v>1</v>
      </c>
      <c r="F87" s="7">
        <f>A87&amp;B87&amp;"-"&amp;C87&amp;E87&amp;"-"&amp;D87</f>
        <v/>
      </c>
    </row>
    <row r="88">
      <c r="A88" s="6" t="inlineStr">
        <is>
          <t>T</t>
        </is>
      </c>
      <c r="B88" s="6" t="n">
        <v>4</v>
      </c>
      <c r="C88" s="7" t="inlineStr">
        <is>
          <t>A</t>
        </is>
      </c>
      <c r="D88" s="7" t="inlineStr">
        <is>
          <t>07</t>
        </is>
      </c>
      <c r="E88" s="7" t="n">
        <v>1</v>
      </c>
      <c r="F88" s="7">
        <f>A88&amp;B88&amp;"-"&amp;C88&amp;E88&amp;"-"&amp;D88</f>
        <v/>
      </c>
    </row>
    <row r="89">
      <c r="A89" s="6" t="inlineStr">
        <is>
          <t>T</t>
        </is>
      </c>
      <c r="B89" s="6" t="n">
        <v>4</v>
      </c>
      <c r="C89" s="7" t="inlineStr">
        <is>
          <t>A</t>
        </is>
      </c>
      <c r="D89" s="7" t="inlineStr">
        <is>
          <t>08</t>
        </is>
      </c>
      <c r="E89" s="7" t="n">
        <v>1</v>
      </c>
      <c r="F89" s="7">
        <f>A89&amp;B89&amp;"-"&amp;C89&amp;E89&amp;"-"&amp;D89</f>
        <v/>
      </c>
    </row>
    <row r="90">
      <c r="A90" s="6" t="inlineStr">
        <is>
          <t>T</t>
        </is>
      </c>
      <c r="B90" s="6" t="n">
        <v>4</v>
      </c>
      <c r="C90" s="7" t="inlineStr">
        <is>
          <t>A</t>
        </is>
      </c>
      <c r="D90" s="7" t="inlineStr">
        <is>
          <t>01</t>
        </is>
      </c>
      <c r="E90" s="7" t="n">
        <v>2</v>
      </c>
      <c r="F90" s="7">
        <f>A90&amp;B90&amp;"-"&amp;C90&amp;E90&amp;"-"&amp;D90</f>
        <v/>
      </c>
    </row>
    <row r="91">
      <c r="A91" s="6" t="inlineStr">
        <is>
          <t>T</t>
        </is>
      </c>
      <c r="B91" s="6" t="n">
        <v>4</v>
      </c>
      <c r="C91" s="7" t="inlineStr">
        <is>
          <t>A</t>
        </is>
      </c>
      <c r="D91" s="7" t="inlineStr">
        <is>
          <t>02</t>
        </is>
      </c>
      <c r="E91" s="7" t="n">
        <v>2</v>
      </c>
      <c r="F91" s="7">
        <f>A91&amp;B91&amp;"-"&amp;C91&amp;E91&amp;"-"&amp;D91</f>
        <v/>
      </c>
    </row>
    <row r="92">
      <c r="A92" s="6" t="inlineStr">
        <is>
          <t>T</t>
        </is>
      </c>
      <c r="B92" s="6" t="n">
        <v>4</v>
      </c>
      <c r="C92" s="7" t="inlineStr">
        <is>
          <t>A</t>
        </is>
      </c>
      <c r="D92" s="7" t="inlineStr">
        <is>
          <t>03</t>
        </is>
      </c>
      <c r="E92" s="7" t="n">
        <v>2</v>
      </c>
      <c r="F92" s="7">
        <f>A92&amp;B92&amp;"-"&amp;C92&amp;E92&amp;"-"&amp;D92</f>
        <v/>
      </c>
    </row>
    <row r="93">
      <c r="A93" s="6" t="inlineStr">
        <is>
          <t>T</t>
        </is>
      </c>
      <c r="B93" s="6" t="n">
        <v>4</v>
      </c>
      <c r="C93" s="7" t="inlineStr">
        <is>
          <t>A</t>
        </is>
      </c>
      <c r="D93" s="7" t="inlineStr">
        <is>
          <t>04</t>
        </is>
      </c>
      <c r="E93" s="7" t="n">
        <v>2</v>
      </c>
      <c r="F93" s="7">
        <f>A93&amp;B93&amp;"-"&amp;C93&amp;E93&amp;"-"&amp;D93</f>
        <v/>
      </c>
    </row>
    <row r="94">
      <c r="A94" s="6" t="inlineStr">
        <is>
          <t>T</t>
        </is>
      </c>
      <c r="B94" s="6" t="n">
        <v>4</v>
      </c>
      <c r="C94" s="7" t="inlineStr">
        <is>
          <t>A</t>
        </is>
      </c>
      <c r="D94" s="7" t="inlineStr">
        <is>
          <t>05</t>
        </is>
      </c>
      <c r="E94" s="7" t="n">
        <v>2</v>
      </c>
      <c r="F94" s="7">
        <f>A94&amp;B94&amp;"-"&amp;C94&amp;E94&amp;"-"&amp;D94</f>
        <v/>
      </c>
    </row>
    <row r="95">
      <c r="A95" s="6" t="inlineStr">
        <is>
          <t>T</t>
        </is>
      </c>
      <c r="B95" s="6" t="n">
        <v>4</v>
      </c>
      <c r="C95" s="7" t="inlineStr">
        <is>
          <t>A</t>
        </is>
      </c>
      <c r="D95" s="7" t="inlineStr">
        <is>
          <t>06</t>
        </is>
      </c>
      <c r="E95" s="7" t="n">
        <v>2</v>
      </c>
      <c r="F95" s="7">
        <f>A95&amp;B95&amp;"-"&amp;C95&amp;E95&amp;"-"&amp;D95</f>
        <v/>
      </c>
    </row>
    <row r="96">
      <c r="A96" s="6" t="inlineStr">
        <is>
          <t>T</t>
        </is>
      </c>
      <c r="B96" s="6" t="n">
        <v>4</v>
      </c>
      <c r="C96" s="7" t="inlineStr">
        <is>
          <t>A</t>
        </is>
      </c>
      <c r="D96" s="7" t="inlineStr">
        <is>
          <t>07</t>
        </is>
      </c>
      <c r="E96" s="7" t="n">
        <v>2</v>
      </c>
      <c r="F96" s="7">
        <f>A96&amp;B96&amp;"-"&amp;C96&amp;E96&amp;"-"&amp;D96</f>
        <v/>
      </c>
    </row>
    <row r="97">
      <c r="A97" s="6" t="inlineStr">
        <is>
          <t>T</t>
        </is>
      </c>
      <c r="B97" s="6" t="n">
        <v>4</v>
      </c>
      <c r="C97" s="7" t="inlineStr">
        <is>
          <t>A</t>
        </is>
      </c>
      <c r="D97" s="7" t="inlineStr">
        <is>
          <t>08</t>
        </is>
      </c>
      <c r="E97" s="7" t="n">
        <v>2</v>
      </c>
      <c r="F97" s="7">
        <f>A97&amp;B97&amp;"-"&amp;C97&amp;E97&amp;"-"&amp;D97</f>
        <v/>
      </c>
    </row>
    <row r="98">
      <c r="A98" s="6" t="inlineStr">
        <is>
          <t>T</t>
        </is>
      </c>
      <c r="B98" s="6" t="n">
        <v>4</v>
      </c>
      <c r="C98" s="7" t="inlineStr">
        <is>
          <t>A</t>
        </is>
      </c>
      <c r="D98" s="7" t="inlineStr">
        <is>
          <t>01</t>
        </is>
      </c>
      <c r="E98" s="7" t="n">
        <v>3</v>
      </c>
      <c r="F98" s="7">
        <f>A98&amp;B98&amp;"-"&amp;C98&amp;E98&amp;"-"&amp;D98</f>
        <v/>
      </c>
    </row>
    <row r="99">
      <c r="A99" s="6" t="inlineStr">
        <is>
          <t>T</t>
        </is>
      </c>
      <c r="B99" s="6" t="n">
        <v>4</v>
      </c>
      <c r="C99" s="7" t="inlineStr">
        <is>
          <t>A</t>
        </is>
      </c>
      <c r="D99" s="7" t="inlineStr">
        <is>
          <t>02</t>
        </is>
      </c>
      <c r="E99" s="7" t="n">
        <v>3</v>
      </c>
      <c r="F99" s="7">
        <f>A99&amp;B99&amp;"-"&amp;C99&amp;E99&amp;"-"&amp;D99</f>
        <v/>
      </c>
    </row>
    <row r="100">
      <c r="A100" s="6" t="inlineStr">
        <is>
          <t>T</t>
        </is>
      </c>
      <c r="B100" s="6" t="n">
        <v>4</v>
      </c>
      <c r="C100" s="7" t="inlineStr">
        <is>
          <t>A</t>
        </is>
      </c>
      <c r="D100" s="7" t="inlineStr">
        <is>
          <t>03</t>
        </is>
      </c>
      <c r="E100" s="7" t="n">
        <v>3</v>
      </c>
      <c r="F100" s="7">
        <f>A100&amp;B100&amp;"-"&amp;C100&amp;E100&amp;"-"&amp;D100</f>
        <v/>
      </c>
    </row>
    <row r="101">
      <c r="A101" s="6" t="inlineStr">
        <is>
          <t>T</t>
        </is>
      </c>
      <c r="B101" s="6" t="n">
        <v>4</v>
      </c>
      <c r="C101" s="7" t="inlineStr">
        <is>
          <t>A</t>
        </is>
      </c>
      <c r="D101" s="7" t="inlineStr">
        <is>
          <t>04</t>
        </is>
      </c>
      <c r="E101" s="7" t="n">
        <v>3</v>
      </c>
      <c r="F101" s="7">
        <f>A101&amp;B101&amp;"-"&amp;C101&amp;E101&amp;"-"&amp;D101</f>
        <v/>
      </c>
    </row>
    <row r="102">
      <c r="A102" s="6" t="inlineStr">
        <is>
          <t>T</t>
        </is>
      </c>
      <c r="B102" s="6" t="n">
        <v>4</v>
      </c>
      <c r="C102" s="7" t="inlineStr">
        <is>
          <t>A</t>
        </is>
      </c>
      <c r="D102" s="7" t="inlineStr">
        <is>
          <t>05</t>
        </is>
      </c>
      <c r="E102" s="7" t="n">
        <v>3</v>
      </c>
      <c r="F102" s="7">
        <f>A102&amp;B102&amp;"-"&amp;C102&amp;E102&amp;"-"&amp;D102</f>
        <v/>
      </c>
    </row>
    <row r="103">
      <c r="A103" s="6" t="inlineStr">
        <is>
          <t>T</t>
        </is>
      </c>
      <c r="B103" s="6" t="n">
        <v>4</v>
      </c>
      <c r="C103" s="7" t="inlineStr">
        <is>
          <t>A</t>
        </is>
      </c>
      <c r="D103" s="7" t="inlineStr">
        <is>
          <t>06</t>
        </is>
      </c>
      <c r="E103" s="7" t="n">
        <v>3</v>
      </c>
      <c r="F103" s="7">
        <f>A103&amp;B103&amp;"-"&amp;C103&amp;E103&amp;"-"&amp;D103</f>
        <v/>
      </c>
    </row>
    <row r="104">
      <c r="A104" s="6" t="inlineStr">
        <is>
          <t>T</t>
        </is>
      </c>
      <c r="B104" s="6" t="n">
        <v>4</v>
      </c>
      <c r="C104" s="7" t="inlineStr">
        <is>
          <t>A</t>
        </is>
      </c>
      <c r="D104" s="7" t="inlineStr">
        <is>
          <t>07</t>
        </is>
      </c>
      <c r="E104" s="7" t="n">
        <v>3</v>
      </c>
      <c r="F104" s="7">
        <f>A104&amp;B104&amp;"-"&amp;C104&amp;E104&amp;"-"&amp;D104</f>
        <v/>
      </c>
    </row>
    <row r="105">
      <c r="A105" s="6" t="inlineStr">
        <is>
          <t>T</t>
        </is>
      </c>
      <c r="B105" s="6" t="n">
        <v>4</v>
      </c>
      <c r="C105" s="7" t="inlineStr">
        <is>
          <t>A</t>
        </is>
      </c>
      <c r="D105" s="7" t="inlineStr">
        <is>
          <t>08</t>
        </is>
      </c>
      <c r="E105" s="7" t="n">
        <v>3</v>
      </c>
      <c r="F105" s="7">
        <f>A105&amp;B105&amp;"-"&amp;C105&amp;E105&amp;"-"&amp;D105</f>
        <v/>
      </c>
    </row>
    <row r="106">
      <c r="A106" s="8" t="inlineStr">
        <is>
          <t>T</t>
        </is>
      </c>
      <c r="B106" s="8" t="n">
        <v>4</v>
      </c>
      <c r="C106" s="9" t="inlineStr">
        <is>
          <t>A</t>
        </is>
      </c>
      <c r="D106" s="9" t="inlineStr">
        <is>
          <t>03</t>
        </is>
      </c>
      <c r="E106" s="9" t="inlineStr">
        <is>
          <t>M</t>
        </is>
      </c>
      <c r="F106" s="9">
        <f>A106&amp;B106&amp;"-"&amp;C106&amp;E106&amp;"-"&amp;D106</f>
        <v/>
      </c>
    </row>
    <row r="107">
      <c r="A107" s="6" t="inlineStr">
        <is>
          <t>T</t>
        </is>
      </c>
      <c r="B107" s="6" t="n">
        <v>4</v>
      </c>
      <c r="C107" s="7" t="inlineStr">
        <is>
          <t>A</t>
        </is>
      </c>
      <c r="D107" s="7" t="n">
        <v>1</v>
      </c>
      <c r="E107" s="7" t="n">
        <v>4</v>
      </c>
      <c r="F107" s="7">
        <f>A107&amp;B107&amp;"-"&amp;C107&amp;E107&amp;"-"&amp;D107</f>
        <v/>
      </c>
    </row>
    <row r="108">
      <c r="A108" s="6" t="inlineStr">
        <is>
          <t>T</t>
        </is>
      </c>
      <c r="B108" s="6" t="n">
        <v>4</v>
      </c>
      <c r="C108" s="7" t="inlineStr">
        <is>
          <t>A</t>
        </is>
      </c>
      <c r="D108" s="7" t="n">
        <v>2</v>
      </c>
      <c r="E108" s="7" t="n">
        <v>4</v>
      </c>
      <c r="F108" s="7">
        <f>A108&amp;B108&amp;"-"&amp;C108&amp;E108&amp;"-"&amp;D108</f>
        <v/>
      </c>
    </row>
    <row r="109">
      <c r="A109" s="6" t="inlineStr">
        <is>
          <t>T</t>
        </is>
      </c>
      <c r="B109" s="6" t="n">
        <v>4</v>
      </c>
      <c r="C109" s="7" t="inlineStr">
        <is>
          <t>A</t>
        </is>
      </c>
      <c r="D109" s="7" t="n">
        <v>3</v>
      </c>
      <c r="E109" s="7" t="n">
        <v>4</v>
      </c>
      <c r="F109" s="7">
        <f>A109&amp;B109&amp;"-"&amp;C109&amp;E109&amp;"-"&amp;D109</f>
        <v/>
      </c>
    </row>
    <row r="110">
      <c r="A110" s="6" t="inlineStr">
        <is>
          <t>T</t>
        </is>
      </c>
      <c r="B110" s="6" t="n">
        <v>4</v>
      </c>
      <c r="C110" s="7" t="inlineStr">
        <is>
          <t>A</t>
        </is>
      </c>
      <c r="D110" s="7" t="n">
        <v>4</v>
      </c>
      <c r="E110" s="7" t="n">
        <v>4</v>
      </c>
      <c r="F110" s="7">
        <f>A110&amp;B110&amp;"-"&amp;C110&amp;E110&amp;"-"&amp;D110</f>
        <v/>
      </c>
    </row>
    <row r="111">
      <c r="A111" s="6" t="inlineStr">
        <is>
          <t>T</t>
        </is>
      </c>
      <c r="B111" s="6" t="n">
        <v>4</v>
      </c>
      <c r="C111" s="6" t="inlineStr">
        <is>
          <t>B</t>
        </is>
      </c>
      <c r="D111" s="7" t="inlineStr">
        <is>
          <t>01</t>
        </is>
      </c>
      <c r="E111" s="7" t="n">
        <v>1</v>
      </c>
      <c r="F111" s="7">
        <f>A111&amp;B111&amp;"-"&amp;C111&amp;E111&amp;"-"&amp;D111</f>
        <v/>
      </c>
    </row>
    <row r="112">
      <c r="A112" s="6" t="inlineStr">
        <is>
          <t>T</t>
        </is>
      </c>
      <c r="B112" s="6" t="n">
        <v>4</v>
      </c>
      <c r="C112" s="6" t="inlineStr">
        <is>
          <t>B</t>
        </is>
      </c>
      <c r="D112" s="7" t="inlineStr">
        <is>
          <t>02</t>
        </is>
      </c>
      <c r="E112" s="7" t="n">
        <v>1</v>
      </c>
      <c r="F112" s="7">
        <f>A112&amp;B112&amp;"-"&amp;C112&amp;E112&amp;"-"&amp;D112</f>
        <v/>
      </c>
    </row>
    <row r="113">
      <c r="A113" s="6" t="inlineStr">
        <is>
          <t>T</t>
        </is>
      </c>
      <c r="B113" s="6" t="n">
        <v>4</v>
      </c>
      <c r="C113" s="6" t="inlineStr">
        <is>
          <t>B</t>
        </is>
      </c>
      <c r="D113" s="7" t="inlineStr">
        <is>
          <t>03</t>
        </is>
      </c>
      <c r="E113" s="7" t="n">
        <v>1</v>
      </c>
      <c r="F113" s="7">
        <f>A113&amp;B113&amp;"-"&amp;C113&amp;E113&amp;"-"&amp;D113</f>
        <v/>
      </c>
    </row>
    <row r="114">
      <c r="A114" s="6" t="inlineStr">
        <is>
          <t>T</t>
        </is>
      </c>
      <c r="B114" s="6" t="n">
        <v>4</v>
      </c>
      <c r="C114" s="6" t="inlineStr">
        <is>
          <t>B</t>
        </is>
      </c>
      <c r="D114" s="7" t="inlineStr">
        <is>
          <t>04</t>
        </is>
      </c>
      <c r="E114" s="7" t="n">
        <v>1</v>
      </c>
      <c r="F114" s="7">
        <f>A114&amp;B114&amp;"-"&amp;C114&amp;E114&amp;"-"&amp;D114</f>
        <v/>
      </c>
    </row>
    <row r="115">
      <c r="A115" s="6" t="inlineStr">
        <is>
          <t>T</t>
        </is>
      </c>
      <c r="B115" s="6" t="n">
        <v>4</v>
      </c>
      <c r="C115" s="6" t="inlineStr">
        <is>
          <t>B</t>
        </is>
      </c>
      <c r="D115" s="7" t="inlineStr">
        <is>
          <t>05</t>
        </is>
      </c>
      <c r="E115" s="7" t="n">
        <v>1</v>
      </c>
      <c r="F115" s="7">
        <f>A115&amp;B115&amp;"-"&amp;C115&amp;E115&amp;"-"&amp;D115</f>
        <v/>
      </c>
    </row>
    <row r="116">
      <c r="A116" s="6" t="inlineStr">
        <is>
          <t>T</t>
        </is>
      </c>
      <c r="B116" s="6" t="n">
        <v>4</v>
      </c>
      <c r="C116" s="6" t="inlineStr">
        <is>
          <t>B</t>
        </is>
      </c>
      <c r="D116" s="7" t="inlineStr">
        <is>
          <t>01</t>
        </is>
      </c>
      <c r="E116" s="7" t="n">
        <v>2</v>
      </c>
      <c r="F116" s="7">
        <f>A116&amp;B116&amp;"-"&amp;C116&amp;E116&amp;"-"&amp;D116</f>
        <v/>
      </c>
    </row>
    <row r="117">
      <c r="A117" s="6" t="inlineStr">
        <is>
          <t>T</t>
        </is>
      </c>
      <c r="B117" s="6" t="n">
        <v>4</v>
      </c>
      <c r="C117" s="6" t="inlineStr">
        <is>
          <t>B</t>
        </is>
      </c>
      <c r="D117" s="7" t="inlineStr">
        <is>
          <t>02</t>
        </is>
      </c>
      <c r="E117" s="7" t="n">
        <v>2</v>
      </c>
      <c r="F117" s="7">
        <f>A117&amp;B117&amp;"-"&amp;C117&amp;E117&amp;"-"&amp;D117</f>
        <v/>
      </c>
    </row>
    <row r="118">
      <c r="A118" s="6" t="inlineStr">
        <is>
          <t>T</t>
        </is>
      </c>
      <c r="B118" s="6" t="n">
        <v>4</v>
      </c>
      <c r="C118" s="6" t="inlineStr">
        <is>
          <t>B</t>
        </is>
      </c>
      <c r="D118" s="7" t="inlineStr">
        <is>
          <t>03</t>
        </is>
      </c>
      <c r="E118" s="7" t="n">
        <v>2</v>
      </c>
      <c r="F118" s="7">
        <f>A118&amp;B118&amp;"-"&amp;C118&amp;E118&amp;"-"&amp;D118</f>
        <v/>
      </c>
    </row>
    <row r="119">
      <c r="A119" s="6" t="inlineStr">
        <is>
          <t>T</t>
        </is>
      </c>
      <c r="B119" s="6" t="n">
        <v>4</v>
      </c>
      <c r="C119" s="6" t="inlineStr">
        <is>
          <t>B</t>
        </is>
      </c>
      <c r="D119" s="7" t="inlineStr">
        <is>
          <t>04</t>
        </is>
      </c>
      <c r="E119" s="7" t="n">
        <v>2</v>
      </c>
      <c r="F119" s="7">
        <f>A119&amp;B119&amp;"-"&amp;C119&amp;E119&amp;"-"&amp;D119</f>
        <v/>
      </c>
    </row>
    <row r="120">
      <c r="A120" s="6" t="inlineStr">
        <is>
          <t>T</t>
        </is>
      </c>
      <c r="B120" s="6" t="n">
        <v>4</v>
      </c>
      <c r="C120" s="6" t="inlineStr">
        <is>
          <t>B</t>
        </is>
      </c>
      <c r="D120" s="7" t="inlineStr">
        <is>
          <t>05</t>
        </is>
      </c>
      <c r="E120" s="7" t="n">
        <v>2</v>
      </c>
      <c r="F120" s="7">
        <f>A120&amp;B120&amp;"-"&amp;C120&amp;E120&amp;"-"&amp;D120</f>
        <v/>
      </c>
    </row>
    <row r="121">
      <c r="A121" s="6" t="inlineStr">
        <is>
          <t>T</t>
        </is>
      </c>
      <c r="B121" s="6" t="n">
        <v>4</v>
      </c>
      <c r="C121" s="6" t="inlineStr">
        <is>
          <t>B</t>
        </is>
      </c>
      <c r="D121" s="7" t="inlineStr">
        <is>
          <t>06</t>
        </is>
      </c>
      <c r="E121" s="7" t="n">
        <v>2</v>
      </c>
      <c r="F121" s="7">
        <f>A121&amp;B121&amp;"-"&amp;C121&amp;E121&amp;"-"&amp;D121</f>
        <v/>
      </c>
    </row>
    <row r="122">
      <c r="A122" s="6" t="inlineStr">
        <is>
          <t>T</t>
        </is>
      </c>
      <c r="B122" s="6" t="n">
        <v>4</v>
      </c>
      <c r="C122" s="6" t="inlineStr">
        <is>
          <t>C</t>
        </is>
      </c>
      <c r="D122" s="7" t="inlineStr">
        <is>
          <t>01</t>
        </is>
      </c>
      <c r="E122" s="7" t="n">
        <v>1</v>
      </c>
      <c r="F122" s="7">
        <f>A122&amp;B122&amp;"-"&amp;C122&amp;E122&amp;"-"&amp;D122</f>
        <v/>
      </c>
    </row>
    <row r="123">
      <c r="A123" s="6" t="inlineStr">
        <is>
          <t>T</t>
        </is>
      </c>
      <c r="B123" s="6" t="n">
        <v>4</v>
      </c>
      <c r="C123" s="6" t="inlineStr">
        <is>
          <t>C</t>
        </is>
      </c>
      <c r="D123" s="7" t="inlineStr">
        <is>
          <t>02</t>
        </is>
      </c>
      <c r="E123" s="7" t="n">
        <v>1</v>
      </c>
      <c r="F123" s="7">
        <f>A123&amp;B123&amp;"-"&amp;C123&amp;E123&amp;"-"&amp;D123</f>
        <v/>
      </c>
    </row>
    <row r="124">
      <c r="A124" s="6" t="inlineStr">
        <is>
          <t>T</t>
        </is>
      </c>
      <c r="B124" s="6" t="n">
        <v>4</v>
      </c>
      <c r="C124" s="6" t="inlineStr">
        <is>
          <t>C</t>
        </is>
      </c>
      <c r="D124" s="7" t="inlineStr">
        <is>
          <t>03</t>
        </is>
      </c>
      <c r="E124" s="7" t="n">
        <v>1</v>
      </c>
      <c r="F124" s="7">
        <f>A124&amp;B124&amp;"-"&amp;C124&amp;E124&amp;"-"&amp;D124</f>
        <v/>
      </c>
    </row>
    <row r="125">
      <c r="A125" s="6" t="inlineStr">
        <is>
          <t>T</t>
        </is>
      </c>
      <c r="B125" s="6" t="n">
        <v>4</v>
      </c>
      <c r="C125" s="6" t="inlineStr">
        <is>
          <t>C</t>
        </is>
      </c>
      <c r="D125" s="7" t="inlineStr">
        <is>
          <t>04</t>
        </is>
      </c>
      <c r="E125" s="7" t="n">
        <v>1</v>
      </c>
      <c r="F125" s="7">
        <f>A125&amp;B125&amp;"-"&amp;C125&amp;E125&amp;"-"&amp;D125</f>
        <v/>
      </c>
    </row>
    <row r="126">
      <c r="A126" s="6" t="inlineStr">
        <is>
          <t>T</t>
        </is>
      </c>
      <c r="B126" s="6" t="n">
        <v>4</v>
      </c>
      <c r="C126" s="6" t="inlineStr">
        <is>
          <t>C</t>
        </is>
      </c>
      <c r="D126" s="7" t="inlineStr">
        <is>
          <t>05</t>
        </is>
      </c>
      <c r="E126" s="7" t="n">
        <v>1</v>
      </c>
      <c r="F126" s="7">
        <f>A126&amp;B126&amp;"-"&amp;C126&amp;E126&amp;"-"&amp;D126</f>
        <v/>
      </c>
    </row>
    <row r="127">
      <c r="A127" s="6" t="inlineStr">
        <is>
          <t>T</t>
        </is>
      </c>
      <c r="B127" s="6" t="n">
        <v>4</v>
      </c>
      <c r="C127" s="6" t="inlineStr">
        <is>
          <t>C</t>
        </is>
      </c>
      <c r="D127" s="7" t="inlineStr">
        <is>
          <t>06</t>
        </is>
      </c>
      <c r="E127" s="7" t="n">
        <v>1</v>
      </c>
      <c r="F127" s="7">
        <f>A127&amp;B127&amp;"-"&amp;C127&amp;E127&amp;"-"&amp;D127</f>
        <v/>
      </c>
    </row>
    <row r="128">
      <c r="A128" s="6" t="inlineStr">
        <is>
          <t>T</t>
        </is>
      </c>
      <c r="B128" s="6" t="n">
        <v>4</v>
      </c>
      <c r="C128" s="6" t="inlineStr">
        <is>
          <t>C</t>
        </is>
      </c>
      <c r="D128" s="7" t="inlineStr">
        <is>
          <t>01</t>
        </is>
      </c>
      <c r="E128" s="7" t="n">
        <v>2</v>
      </c>
      <c r="F128" s="7">
        <f>A128&amp;B128&amp;"-"&amp;C128&amp;E128&amp;"-"&amp;D128</f>
        <v/>
      </c>
    </row>
    <row r="129">
      <c r="A129" s="6" t="inlineStr">
        <is>
          <t>T</t>
        </is>
      </c>
      <c r="B129" s="6" t="n">
        <v>4</v>
      </c>
      <c r="C129" s="6" t="inlineStr">
        <is>
          <t>C</t>
        </is>
      </c>
      <c r="D129" s="7" t="inlineStr">
        <is>
          <t>02</t>
        </is>
      </c>
      <c r="E129" s="7" t="n">
        <v>2</v>
      </c>
      <c r="F129" s="7">
        <f>A129&amp;B129&amp;"-"&amp;C129&amp;E129&amp;"-"&amp;D129</f>
        <v/>
      </c>
    </row>
    <row r="130">
      <c r="A130" s="6" t="inlineStr">
        <is>
          <t>T</t>
        </is>
      </c>
      <c r="B130" s="6" t="n">
        <v>4</v>
      </c>
      <c r="C130" s="6" t="inlineStr">
        <is>
          <t>C</t>
        </is>
      </c>
      <c r="D130" s="7" t="inlineStr">
        <is>
          <t>03</t>
        </is>
      </c>
      <c r="E130" s="7" t="n">
        <v>2</v>
      </c>
      <c r="F130" s="7">
        <f>A130&amp;B130&amp;"-"&amp;C130&amp;E130&amp;"-"&amp;D130</f>
        <v/>
      </c>
    </row>
    <row r="131">
      <c r="A131" s="6" t="inlineStr">
        <is>
          <t>T</t>
        </is>
      </c>
      <c r="B131" s="6" t="n">
        <v>4</v>
      </c>
      <c r="C131" s="6" t="inlineStr">
        <is>
          <t>C</t>
        </is>
      </c>
      <c r="D131" s="7" t="inlineStr">
        <is>
          <t>04</t>
        </is>
      </c>
      <c r="E131" s="7" t="n">
        <v>2</v>
      </c>
      <c r="F131" s="7">
        <f>A131&amp;B131&amp;"-"&amp;C131&amp;E131&amp;"-"&amp;D131</f>
        <v/>
      </c>
    </row>
    <row r="132">
      <c r="A132" s="6" t="inlineStr">
        <is>
          <t>T</t>
        </is>
      </c>
      <c r="B132" s="6" t="n">
        <v>4</v>
      </c>
      <c r="C132" s="6" t="inlineStr">
        <is>
          <t>C</t>
        </is>
      </c>
      <c r="D132" s="7" t="inlineStr">
        <is>
          <t>05</t>
        </is>
      </c>
      <c r="E132" s="7" t="n">
        <v>2</v>
      </c>
      <c r="F132" s="7">
        <f>A132&amp;B132&amp;"-"&amp;C132&amp;E132&amp;"-"&amp;D132</f>
        <v/>
      </c>
    </row>
    <row r="133">
      <c r="A133" s="6" t="inlineStr">
        <is>
          <t>T</t>
        </is>
      </c>
      <c r="B133" s="6" t="n">
        <v>4</v>
      </c>
      <c r="C133" s="6" t="inlineStr">
        <is>
          <t>C</t>
        </is>
      </c>
      <c r="D133" s="7" t="inlineStr">
        <is>
          <t>06</t>
        </is>
      </c>
      <c r="E133" s="7" t="n">
        <v>2</v>
      </c>
      <c r="F133" s="7">
        <f>A133&amp;B133&amp;"-"&amp;C133&amp;E133&amp;"-"&amp;D133</f>
        <v/>
      </c>
    </row>
    <row r="134">
      <c r="A134" s="6" t="inlineStr">
        <is>
          <t>T</t>
        </is>
      </c>
      <c r="B134" s="6" t="n">
        <v>4</v>
      </c>
      <c r="C134" s="6" t="inlineStr">
        <is>
          <t>C</t>
        </is>
      </c>
      <c r="D134" s="7" t="inlineStr">
        <is>
          <t>01</t>
        </is>
      </c>
      <c r="E134" s="7" t="n">
        <v>3</v>
      </c>
      <c r="F134" s="7">
        <f>A134&amp;B134&amp;"-"&amp;C134&amp;E134&amp;"-"&amp;D134</f>
        <v/>
      </c>
    </row>
    <row r="135">
      <c r="A135" s="6" t="inlineStr">
        <is>
          <t>T</t>
        </is>
      </c>
      <c r="B135" s="6" t="n">
        <v>4</v>
      </c>
      <c r="C135" s="6" t="inlineStr">
        <is>
          <t>C</t>
        </is>
      </c>
      <c r="D135" s="7" t="inlineStr">
        <is>
          <t>02</t>
        </is>
      </c>
      <c r="E135" s="7" t="n">
        <v>3</v>
      </c>
      <c r="F135" s="7">
        <f>A135&amp;B135&amp;"-"&amp;C135&amp;E135&amp;"-"&amp;D135</f>
        <v/>
      </c>
    </row>
    <row r="136">
      <c r="A136" s="6" t="inlineStr">
        <is>
          <t>T</t>
        </is>
      </c>
      <c r="B136" s="6" t="n">
        <v>4</v>
      </c>
      <c r="C136" s="6" t="inlineStr">
        <is>
          <t>C</t>
        </is>
      </c>
      <c r="D136" s="7" t="inlineStr">
        <is>
          <t>03</t>
        </is>
      </c>
      <c r="E136" s="7" t="n">
        <v>3</v>
      </c>
      <c r="F136" s="7">
        <f>A136&amp;B136&amp;"-"&amp;C136&amp;E136&amp;"-"&amp;D136</f>
        <v/>
      </c>
    </row>
    <row r="137">
      <c r="A137" s="6" t="inlineStr">
        <is>
          <t>T</t>
        </is>
      </c>
      <c r="B137" s="6" t="n">
        <v>4</v>
      </c>
      <c r="C137" s="6" t="inlineStr">
        <is>
          <t>C</t>
        </is>
      </c>
      <c r="D137" s="7" t="inlineStr">
        <is>
          <t>04</t>
        </is>
      </c>
      <c r="E137" s="7" t="n">
        <v>3</v>
      </c>
      <c r="F137" s="7">
        <f>A137&amp;B137&amp;"-"&amp;C137&amp;E137&amp;"-"&amp;D137</f>
        <v/>
      </c>
    </row>
    <row r="138">
      <c r="A138" s="6" t="inlineStr">
        <is>
          <t>T</t>
        </is>
      </c>
      <c r="B138" s="6" t="n">
        <v>4</v>
      </c>
      <c r="C138" s="6" t="inlineStr">
        <is>
          <t>C</t>
        </is>
      </c>
      <c r="D138" s="7" t="inlineStr">
        <is>
          <t>05</t>
        </is>
      </c>
      <c r="E138" s="7" t="n">
        <v>3</v>
      </c>
      <c r="F138" s="7">
        <f>A138&amp;B138&amp;"-"&amp;C138&amp;E138&amp;"-"&amp;D138</f>
        <v/>
      </c>
    </row>
    <row r="139">
      <c r="A139" s="6" t="inlineStr">
        <is>
          <t>T</t>
        </is>
      </c>
      <c r="B139" s="6" t="n">
        <v>4</v>
      </c>
      <c r="C139" s="6" t="inlineStr">
        <is>
          <t>C</t>
        </is>
      </c>
      <c r="D139" s="7" t="inlineStr">
        <is>
          <t>06</t>
        </is>
      </c>
      <c r="E139" s="7" t="n">
        <v>3</v>
      </c>
      <c r="F139" s="7">
        <f>A139&amp;B139&amp;"-"&amp;C139&amp;E139&amp;"-"&amp;D139</f>
        <v/>
      </c>
    </row>
    <row r="140">
      <c r="A140" s="6" t="inlineStr">
        <is>
          <t>T</t>
        </is>
      </c>
      <c r="B140" s="6" t="n">
        <v>4</v>
      </c>
      <c r="C140" s="6" t="inlineStr">
        <is>
          <t>C</t>
        </is>
      </c>
      <c r="D140" s="7" t="inlineStr">
        <is>
          <t>01</t>
        </is>
      </c>
      <c r="E140" s="7" t="n">
        <v>4</v>
      </c>
      <c r="F140" s="7">
        <f>A140&amp;B140&amp;"-"&amp;C140&amp;E140&amp;"-"&amp;D140</f>
        <v/>
      </c>
    </row>
    <row r="141">
      <c r="A141" s="6" t="inlineStr">
        <is>
          <t>T</t>
        </is>
      </c>
      <c r="B141" s="6" t="n">
        <v>4</v>
      </c>
      <c r="C141" s="6" t="inlineStr">
        <is>
          <t>C</t>
        </is>
      </c>
      <c r="D141" s="7" t="inlineStr">
        <is>
          <t>02</t>
        </is>
      </c>
      <c r="E141" s="7" t="n">
        <v>4</v>
      </c>
      <c r="F141" s="7">
        <f>A141&amp;B141&amp;"-"&amp;C141&amp;E141&amp;"-"&amp;D141</f>
        <v/>
      </c>
    </row>
    <row r="142">
      <c r="A142" s="6" t="inlineStr">
        <is>
          <t>T</t>
        </is>
      </c>
      <c r="B142" s="6" t="n">
        <v>4</v>
      </c>
      <c r="C142" s="6" t="inlineStr">
        <is>
          <t>C</t>
        </is>
      </c>
      <c r="D142" s="7" t="inlineStr">
        <is>
          <t>03</t>
        </is>
      </c>
      <c r="E142" s="7" t="n">
        <v>4</v>
      </c>
      <c r="F142" s="7">
        <f>A142&amp;B142&amp;"-"&amp;C142&amp;E142&amp;"-"&amp;D142</f>
        <v/>
      </c>
    </row>
    <row r="143">
      <c r="A143" s="6" t="inlineStr">
        <is>
          <t>T</t>
        </is>
      </c>
      <c r="B143" s="6" t="n">
        <v>4</v>
      </c>
      <c r="C143" s="6" t="inlineStr">
        <is>
          <t>C</t>
        </is>
      </c>
      <c r="D143" s="7" t="inlineStr">
        <is>
          <t>04</t>
        </is>
      </c>
      <c r="E143" s="7" t="n">
        <v>4</v>
      </c>
      <c r="F143" s="7">
        <f>A143&amp;B143&amp;"-"&amp;C143&amp;E143&amp;"-"&amp;D143</f>
        <v/>
      </c>
    </row>
    <row r="144">
      <c r="A144" s="6" t="inlineStr">
        <is>
          <t>T</t>
        </is>
      </c>
      <c r="B144" s="6" t="n">
        <v>4</v>
      </c>
      <c r="C144" s="6" t="inlineStr">
        <is>
          <t>C</t>
        </is>
      </c>
      <c r="D144" s="7" t="inlineStr">
        <is>
          <t>05</t>
        </is>
      </c>
      <c r="E144" s="7" t="n">
        <v>4</v>
      </c>
      <c r="F144" s="7">
        <f>A144&amp;B144&amp;"-"&amp;C144&amp;E144&amp;"-"&amp;D144</f>
        <v/>
      </c>
    </row>
    <row r="145">
      <c r="A145" s="6" t="inlineStr">
        <is>
          <t>T</t>
        </is>
      </c>
      <c r="B145" s="6" t="n">
        <v>4</v>
      </c>
      <c r="C145" s="6" t="inlineStr">
        <is>
          <t>C</t>
        </is>
      </c>
      <c r="D145" s="7" t="inlineStr">
        <is>
          <t>06</t>
        </is>
      </c>
      <c r="E145" s="7" t="n">
        <v>4</v>
      </c>
      <c r="F145" s="7">
        <f>A145&amp;B145&amp;"-"&amp;C145&amp;E145&amp;"-"&amp;D145</f>
        <v/>
      </c>
    </row>
    <row r="146">
      <c r="A146" s="6" t="inlineStr">
        <is>
          <t>T</t>
        </is>
      </c>
      <c r="B146" s="6" t="n">
        <v>4</v>
      </c>
      <c r="C146" s="6" t="inlineStr">
        <is>
          <t>C</t>
        </is>
      </c>
      <c r="D146" s="7" t="inlineStr">
        <is>
          <t>01</t>
        </is>
      </c>
      <c r="E146" s="7" t="n">
        <v>5</v>
      </c>
      <c r="F146" s="7">
        <f>A146&amp;B146&amp;"-"&amp;C146&amp;E146&amp;"-"&amp;D146</f>
        <v/>
      </c>
    </row>
    <row r="147">
      <c r="A147" s="6" t="inlineStr">
        <is>
          <t>T</t>
        </is>
      </c>
      <c r="B147" s="6" t="n">
        <v>4</v>
      </c>
      <c r="C147" s="6" t="inlineStr">
        <is>
          <t>C</t>
        </is>
      </c>
      <c r="D147" s="7" t="inlineStr">
        <is>
          <t>02</t>
        </is>
      </c>
      <c r="E147" s="7" t="n">
        <v>5</v>
      </c>
      <c r="F147" s="7">
        <f>A147&amp;B147&amp;"-"&amp;C147&amp;E147&amp;"-"&amp;D147</f>
        <v/>
      </c>
    </row>
    <row r="148">
      <c r="A148" s="6" t="inlineStr">
        <is>
          <t>T</t>
        </is>
      </c>
      <c r="B148" s="6" t="n">
        <v>4</v>
      </c>
      <c r="C148" s="6" t="inlineStr">
        <is>
          <t>C</t>
        </is>
      </c>
      <c r="D148" s="7" t="inlineStr">
        <is>
          <t>03</t>
        </is>
      </c>
      <c r="E148" s="7" t="n">
        <v>5</v>
      </c>
      <c r="F148" s="7">
        <f>A148&amp;B148&amp;"-"&amp;C148&amp;E148&amp;"-"&amp;D148</f>
        <v/>
      </c>
    </row>
    <row r="149">
      <c r="A149" s="6" t="inlineStr">
        <is>
          <t>T</t>
        </is>
      </c>
      <c r="B149" s="6" t="n">
        <v>4</v>
      </c>
      <c r="C149" s="6" t="inlineStr">
        <is>
          <t>C</t>
        </is>
      </c>
      <c r="D149" s="7" t="inlineStr">
        <is>
          <t>04</t>
        </is>
      </c>
      <c r="E149" s="7" t="n">
        <v>5</v>
      </c>
      <c r="F149" s="7">
        <f>A149&amp;B149&amp;"-"&amp;C149&amp;E149&amp;"-"&amp;D149</f>
        <v/>
      </c>
    </row>
    <row r="150">
      <c r="A150" s="6" t="inlineStr">
        <is>
          <t>T</t>
        </is>
      </c>
      <c r="B150" s="6" t="n">
        <v>4</v>
      </c>
      <c r="C150" s="6" t="inlineStr">
        <is>
          <t>C</t>
        </is>
      </c>
      <c r="D150" s="7" t="inlineStr">
        <is>
          <t>05</t>
        </is>
      </c>
      <c r="E150" s="7" t="n">
        <v>5</v>
      </c>
      <c r="F150" s="7">
        <f>A150&amp;B150&amp;"-"&amp;C150&amp;E150&amp;"-"&amp;D150</f>
        <v/>
      </c>
    </row>
    <row r="151">
      <c r="A151" s="6" t="inlineStr">
        <is>
          <t>T</t>
        </is>
      </c>
      <c r="B151" s="6" t="n">
        <v>4</v>
      </c>
      <c r="C151" s="6" t="inlineStr">
        <is>
          <t>C</t>
        </is>
      </c>
      <c r="D151" s="7" t="inlineStr">
        <is>
          <t>06</t>
        </is>
      </c>
      <c r="E151" s="7" t="n">
        <v>5</v>
      </c>
      <c r="F151" s="7">
        <f>A151&amp;B151&amp;"-"&amp;C151&amp;E151&amp;"-"&amp;D151</f>
        <v/>
      </c>
    </row>
    <row r="152">
      <c r="A152" s="6" t="inlineStr">
        <is>
          <t>T</t>
        </is>
      </c>
      <c r="B152" s="6" t="n">
        <v>4</v>
      </c>
      <c r="C152" s="6" t="inlineStr">
        <is>
          <t>C</t>
        </is>
      </c>
      <c r="D152" s="7" t="inlineStr">
        <is>
          <t>01</t>
        </is>
      </c>
      <c r="E152" s="7" t="n">
        <v>6</v>
      </c>
      <c r="F152" s="7">
        <f>A152&amp;B152&amp;"-"&amp;C152&amp;E152&amp;"-"&amp;D152</f>
        <v/>
      </c>
    </row>
    <row r="153">
      <c r="A153" s="6" t="inlineStr">
        <is>
          <t>T</t>
        </is>
      </c>
      <c r="B153" s="6" t="n">
        <v>4</v>
      </c>
      <c r="C153" s="6" t="inlineStr">
        <is>
          <t>C</t>
        </is>
      </c>
      <c r="D153" s="7" t="inlineStr">
        <is>
          <t>02</t>
        </is>
      </c>
      <c r="E153" s="7" t="n">
        <v>6</v>
      </c>
      <c r="F153" s="7">
        <f>A153&amp;B153&amp;"-"&amp;C153&amp;E153&amp;"-"&amp;D153</f>
        <v/>
      </c>
    </row>
    <row r="154">
      <c r="A154" s="6" t="inlineStr">
        <is>
          <t>T</t>
        </is>
      </c>
      <c r="B154" s="6" t="n">
        <v>4</v>
      </c>
      <c r="C154" s="6" t="inlineStr">
        <is>
          <t>C</t>
        </is>
      </c>
      <c r="D154" s="7" t="inlineStr">
        <is>
          <t>03</t>
        </is>
      </c>
      <c r="E154" s="7" t="n">
        <v>6</v>
      </c>
      <c r="F154" s="7">
        <f>A154&amp;B154&amp;"-"&amp;C154&amp;E154&amp;"-"&amp;D154</f>
        <v/>
      </c>
    </row>
    <row r="155">
      <c r="A155" s="6" t="inlineStr">
        <is>
          <t>T</t>
        </is>
      </c>
      <c r="B155" s="6" t="n">
        <v>4</v>
      </c>
      <c r="C155" s="6" t="inlineStr">
        <is>
          <t>C</t>
        </is>
      </c>
      <c r="D155" s="7" t="inlineStr">
        <is>
          <t>04</t>
        </is>
      </c>
      <c r="E155" s="7" t="n">
        <v>6</v>
      </c>
      <c r="F155" s="7">
        <f>A155&amp;B155&amp;"-"&amp;C155&amp;E155&amp;"-"&amp;D155</f>
        <v/>
      </c>
    </row>
    <row r="156">
      <c r="A156" s="6" t="inlineStr">
        <is>
          <t>T</t>
        </is>
      </c>
      <c r="B156" s="6" t="n">
        <v>4</v>
      </c>
      <c r="C156" s="6" t="inlineStr">
        <is>
          <t>C</t>
        </is>
      </c>
      <c r="D156" s="7" t="inlineStr">
        <is>
          <t>05</t>
        </is>
      </c>
      <c r="E156" s="7" t="n">
        <v>6</v>
      </c>
      <c r="F156" s="7">
        <f>A156&amp;B156&amp;"-"&amp;C156&amp;E156&amp;"-"&amp;D156</f>
        <v/>
      </c>
    </row>
    <row r="157">
      <c r="A157" s="6" t="inlineStr">
        <is>
          <t>T</t>
        </is>
      </c>
      <c r="B157" s="6" t="n">
        <v>4</v>
      </c>
      <c r="C157" s="6" t="inlineStr">
        <is>
          <t>C</t>
        </is>
      </c>
      <c r="D157" s="7" t="inlineStr">
        <is>
          <t>06</t>
        </is>
      </c>
      <c r="E157" s="7" t="n">
        <v>6</v>
      </c>
      <c r="F157" s="7">
        <f>A157&amp;B157&amp;"-"&amp;C157&amp;E157&amp;"-"&amp;D157</f>
        <v/>
      </c>
    </row>
    <row r="158">
      <c r="A158" s="8" t="inlineStr">
        <is>
          <t>T</t>
        </is>
      </c>
      <c r="B158" s="8" t="n">
        <v>4</v>
      </c>
      <c r="C158" s="8" t="inlineStr">
        <is>
          <t>C</t>
        </is>
      </c>
      <c r="D158" s="9" t="inlineStr">
        <is>
          <t>01</t>
        </is>
      </c>
      <c r="E158" s="9" t="inlineStr">
        <is>
          <t>M</t>
        </is>
      </c>
      <c r="F158" s="9">
        <f>A158&amp;B158&amp;"-"&amp;C158&amp;E158&amp;"-"&amp;D158</f>
        <v/>
      </c>
    </row>
    <row r="159">
      <c r="A159" s="8" t="inlineStr">
        <is>
          <t>T</t>
        </is>
      </c>
      <c r="B159" s="8" t="n">
        <v>4</v>
      </c>
      <c r="C159" s="8" t="inlineStr">
        <is>
          <t>C</t>
        </is>
      </c>
      <c r="D159" s="9" t="inlineStr">
        <is>
          <t>02</t>
        </is>
      </c>
      <c r="E159" s="9" t="inlineStr">
        <is>
          <t>M</t>
        </is>
      </c>
      <c r="F159" s="9">
        <f>A159&amp;B159&amp;"-"&amp;C159&amp;E159&amp;"-"&amp;D159</f>
        <v/>
      </c>
    </row>
    <row r="160">
      <c r="A160" s="6" t="inlineStr">
        <is>
          <t>T</t>
        </is>
      </c>
      <c r="B160" s="6" t="n">
        <v>4</v>
      </c>
      <c r="C160" s="6" t="inlineStr">
        <is>
          <t>D</t>
        </is>
      </c>
      <c r="D160" s="7" t="inlineStr">
        <is>
          <t>01</t>
        </is>
      </c>
      <c r="E160" s="7" t="n">
        <v>1</v>
      </c>
      <c r="F160" s="7">
        <f>A160&amp;B160&amp;"-"&amp;C160&amp;E160&amp;"-"&amp;D160</f>
        <v/>
      </c>
    </row>
    <row r="161">
      <c r="A161" s="6" t="inlineStr">
        <is>
          <t>T</t>
        </is>
      </c>
      <c r="B161" s="6" t="n">
        <v>4</v>
      </c>
      <c r="C161" s="6" t="inlineStr">
        <is>
          <t>D</t>
        </is>
      </c>
      <c r="D161" s="7" t="inlineStr">
        <is>
          <t>02</t>
        </is>
      </c>
      <c r="E161" s="7" t="n">
        <v>1</v>
      </c>
      <c r="F161" s="7">
        <f>A161&amp;B161&amp;"-"&amp;C161&amp;E161&amp;"-"&amp;D161</f>
        <v/>
      </c>
    </row>
    <row r="162">
      <c r="A162" s="6" t="inlineStr">
        <is>
          <t>T</t>
        </is>
      </c>
      <c r="B162" s="6" t="n">
        <v>4</v>
      </c>
      <c r="C162" s="6" t="inlineStr">
        <is>
          <t>D</t>
        </is>
      </c>
      <c r="D162" s="7" t="inlineStr">
        <is>
          <t>03</t>
        </is>
      </c>
      <c r="E162" s="7" t="n">
        <v>1</v>
      </c>
      <c r="F162" s="7">
        <f>A162&amp;B162&amp;"-"&amp;C162&amp;E162&amp;"-"&amp;D162</f>
        <v/>
      </c>
    </row>
    <row r="163">
      <c r="A163" s="6" t="inlineStr">
        <is>
          <t>T</t>
        </is>
      </c>
      <c r="B163" s="6" t="n">
        <v>4</v>
      </c>
      <c r="C163" s="6" t="inlineStr">
        <is>
          <t>D</t>
        </is>
      </c>
      <c r="D163" s="7" t="inlineStr">
        <is>
          <t>04</t>
        </is>
      </c>
      <c r="E163" s="7" t="n">
        <v>1</v>
      </c>
      <c r="F163" s="7">
        <f>A163&amp;B163&amp;"-"&amp;C163&amp;E163&amp;"-"&amp;D163</f>
        <v/>
      </c>
    </row>
    <row r="164">
      <c r="A164" s="6" t="inlineStr">
        <is>
          <t>T</t>
        </is>
      </c>
      <c r="B164" s="6" t="n">
        <v>4</v>
      </c>
      <c r="C164" s="6" t="inlineStr">
        <is>
          <t>D</t>
        </is>
      </c>
      <c r="D164" s="7" t="inlineStr">
        <is>
          <t>05</t>
        </is>
      </c>
      <c r="E164" s="7" t="n">
        <v>1</v>
      </c>
      <c r="F164" s="7">
        <f>A164&amp;B164&amp;"-"&amp;C164&amp;E164&amp;"-"&amp;D164</f>
        <v/>
      </c>
    </row>
    <row r="165">
      <c r="A165" s="6" t="inlineStr">
        <is>
          <t>T</t>
        </is>
      </c>
      <c r="B165" s="6" t="n">
        <v>4</v>
      </c>
      <c r="C165" s="6" t="inlineStr">
        <is>
          <t>D</t>
        </is>
      </c>
      <c r="D165" s="7" t="inlineStr">
        <is>
          <t>06</t>
        </is>
      </c>
      <c r="E165" s="7" t="n">
        <v>1</v>
      </c>
      <c r="F165" s="7">
        <f>A165&amp;B165&amp;"-"&amp;C165&amp;E165&amp;"-"&amp;D165</f>
        <v/>
      </c>
    </row>
    <row r="166">
      <c r="A166" s="6" t="inlineStr">
        <is>
          <t>T</t>
        </is>
      </c>
      <c r="B166" s="6" t="n">
        <v>4</v>
      </c>
      <c r="C166" s="6" t="inlineStr">
        <is>
          <t>D</t>
        </is>
      </c>
      <c r="D166" s="7" t="inlineStr">
        <is>
          <t>01</t>
        </is>
      </c>
      <c r="E166" s="7" t="n">
        <v>2</v>
      </c>
      <c r="F166" s="7">
        <f>A166&amp;B166&amp;"-"&amp;C166&amp;E166&amp;"-"&amp;D166</f>
        <v/>
      </c>
    </row>
    <row r="167">
      <c r="A167" s="6" t="inlineStr">
        <is>
          <t>T</t>
        </is>
      </c>
      <c r="B167" s="6" t="n">
        <v>4</v>
      </c>
      <c r="C167" s="6" t="inlineStr">
        <is>
          <t>D</t>
        </is>
      </c>
      <c r="D167" s="7" t="inlineStr">
        <is>
          <t>02</t>
        </is>
      </c>
      <c r="E167" s="7" t="n">
        <v>2</v>
      </c>
      <c r="F167" s="7">
        <f>A167&amp;B167&amp;"-"&amp;C167&amp;E167&amp;"-"&amp;D167</f>
        <v/>
      </c>
    </row>
    <row r="168">
      <c r="A168" s="6" t="inlineStr">
        <is>
          <t>T</t>
        </is>
      </c>
      <c r="B168" s="6" t="n">
        <v>4</v>
      </c>
      <c r="C168" s="6" t="inlineStr">
        <is>
          <t>D</t>
        </is>
      </c>
      <c r="D168" s="7" t="inlineStr">
        <is>
          <t>03</t>
        </is>
      </c>
      <c r="E168" s="7" t="n">
        <v>2</v>
      </c>
      <c r="F168" s="7">
        <f>A168&amp;B168&amp;"-"&amp;C168&amp;E168&amp;"-"&amp;D168</f>
        <v/>
      </c>
    </row>
    <row r="169">
      <c r="A169" s="6" t="inlineStr">
        <is>
          <t>T</t>
        </is>
      </c>
      <c r="B169" s="6" t="n">
        <v>4</v>
      </c>
      <c r="C169" s="6" t="inlineStr">
        <is>
          <t>D</t>
        </is>
      </c>
      <c r="D169" s="7" t="inlineStr">
        <is>
          <t>04</t>
        </is>
      </c>
      <c r="E169" s="7" t="n">
        <v>2</v>
      </c>
      <c r="F169" s="7">
        <f>A169&amp;B169&amp;"-"&amp;C169&amp;E169&amp;"-"&amp;D169</f>
        <v/>
      </c>
    </row>
    <row r="170">
      <c r="A170" s="6" t="inlineStr">
        <is>
          <t>T</t>
        </is>
      </c>
      <c r="B170" s="6" t="n">
        <v>4</v>
      </c>
      <c r="C170" s="6" t="inlineStr">
        <is>
          <t>D</t>
        </is>
      </c>
      <c r="D170" s="7" t="inlineStr">
        <is>
          <t>05</t>
        </is>
      </c>
      <c r="E170" s="7" t="n">
        <v>2</v>
      </c>
      <c r="F170" s="7">
        <f>A170&amp;B170&amp;"-"&amp;C170&amp;E170&amp;"-"&amp;D170</f>
        <v/>
      </c>
    </row>
    <row r="171">
      <c r="A171" s="6" t="inlineStr">
        <is>
          <t>T</t>
        </is>
      </c>
      <c r="B171" s="6" t="n">
        <v>4</v>
      </c>
      <c r="C171" s="6" t="inlineStr">
        <is>
          <t>D</t>
        </is>
      </c>
      <c r="D171" s="7" t="inlineStr">
        <is>
          <t>06</t>
        </is>
      </c>
      <c r="E171" s="7" t="n">
        <v>2</v>
      </c>
      <c r="F171" s="7">
        <f>A171&amp;B171&amp;"-"&amp;C171&amp;E171&amp;"-"&amp;D171</f>
        <v/>
      </c>
    </row>
    <row r="172">
      <c r="A172" s="6" t="inlineStr">
        <is>
          <t>T</t>
        </is>
      </c>
      <c r="B172" s="6" t="n">
        <v>4</v>
      </c>
      <c r="C172" s="6" t="inlineStr">
        <is>
          <t>D</t>
        </is>
      </c>
      <c r="D172" s="7" t="inlineStr">
        <is>
          <t>01</t>
        </is>
      </c>
      <c r="E172" s="7" t="n">
        <v>3</v>
      </c>
      <c r="F172" s="7">
        <f>A172&amp;B172&amp;"-"&amp;C172&amp;E172&amp;"-"&amp;D172</f>
        <v/>
      </c>
    </row>
    <row r="173">
      <c r="A173" s="6" t="inlineStr">
        <is>
          <t>T</t>
        </is>
      </c>
      <c r="B173" s="6" t="n">
        <v>4</v>
      </c>
      <c r="C173" s="6" t="inlineStr">
        <is>
          <t>D</t>
        </is>
      </c>
      <c r="D173" s="7" t="inlineStr">
        <is>
          <t>02</t>
        </is>
      </c>
      <c r="E173" s="7" t="n">
        <v>3</v>
      </c>
      <c r="F173" s="7">
        <f>A173&amp;B173&amp;"-"&amp;C173&amp;E173&amp;"-"&amp;D173</f>
        <v/>
      </c>
    </row>
    <row r="174">
      <c r="A174" s="6" t="inlineStr">
        <is>
          <t>T</t>
        </is>
      </c>
      <c r="B174" s="6" t="n">
        <v>4</v>
      </c>
      <c r="C174" s="6" t="inlineStr">
        <is>
          <t>D</t>
        </is>
      </c>
      <c r="D174" s="7" t="inlineStr">
        <is>
          <t>03</t>
        </is>
      </c>
      <c r="E174" s="7" t="n">
        <v>3</v>
      </c>
      <c r="F174" s="7">
        <f>A174&amp;B174&amp;"-"&amp;C174&amp;E174&amp;"-"&amp;D174</f>
        <v/>
      </c>
    </row>
    <row r="175">
      <c r="A175" s="6" t="inlineStr">
        <is>
          <t>T</t>
        </is>
      </c>
      <c r="B175" s="6" t="n">
        <v>4</v>
      </c>
      <c r="C175" s="6" t="inlineStr">
        <is>
          <t>D</t>
        </is>
      </c>
      <c r="D175" s="7" t="inlineStr">
        <is>
          <t>04</t>
        </is>
      </c>
      <c r="E175" s="7" t="n">
        <v>3</v>
      </c>
      <c r="F175" s="7">
        <f>A175&amp;B175&amp;"-"&amp;C175&amp;E175&amp;"-"&amp;D175</f>
        <v/>
      </c>
    </row>
    <row r="176">
      <c r="A176" s="6" t="inlineStr">
        <is>
          <t>T</t>
        </is>
      </c>
      <c r="B176" s="6" t="n">
        <v>4</v>
      </c>
      <c r="C176" s="6" t="inlineStr">
        <is>
          <t>D</t>
        </is>
      </c>
      <c r="D176" s="7" t="inlineStr">
        <is>
          <t>05</t>
        </is>
      </c>
      <c r="E176" s="7" t="n">
        <v>3</v>
      </c>
      <c r="F176" s="7">
        <f>A176&amp;B176&amp;"-"&amp;C176&amp;E176&amp;"-"&amp;D176</f>
        <v/>
      </c>
    </row>
    <row r="177">
      <c r="A177" s="6" t="inlineStr">
        <is>
          <t>T</t>
        </is>
      </c>
      <c r="B177" s="6" t="n">
        <v>4</v>
      </c>
      <c r="C177" s="6" t="inlineStr">
        <is>
          <t>D</t>
        </is>
      </c>
      <c r="D177" s="7" t="inlineStr">
        <is>
          <t>06</t>
        </is>
      </c>
      <c r="E177" s="7" t="n">
        <v>3</v>
      </c>
      <c r="F177" s="7">
        <f>A177&amp;B177&amp;"-"&amp;C177&amp;E177&amp;"-"&amp;D177</f>
        <v/>
      </c>
    </row>
    <row r="178">
      <c r="A178" s="6" t="inlineStr">
        <is>
          <t>T</t>
        </is>
      </c>
      <c r="B178" s="6" t="n">
        <v>4</v>
      </c>
      <c r="C178" s="6" t="inlineStr">
        <is>
          <t>D</t>
        </is>
      </c>
      <c r="D178" s="7" t="inlineStr">
        <is>
          <t>01</t>
        </is>
      </c>
      <c r="E178" s="7" t="n">
        <v>4</v>
      </c>
      <c r="F178" s="7">
        <f>A178&amp;B178&amp;"-"&amp;C178&amp;E178&amp;"-"&amp;D178</f>
        <v/>
      </c>
    </row>
    <row r="179">
      <c r="A179" s="6" t="inlineStr">
        <is>
          <t>T</t>
        </is>
      </c>
      <c r="B179" s="6" t="n">
        <v>4</v>
      </c>
      <c r="C179" s="6" t="inlineStr">
        <is>
          <t>D</t>
        </is>
      </c>
      <c r="D179" s="7" t="inlineStr">
        <is>
          <t>02</t>
        </is>
      </c>
      <c r="E179" s="7" t="n">
        <v>4</v>
      </c>
      <c r="F179" s="7">
        <f>A179&amp;B179&amp;"-"&amp;C179&amp;E179&amp;"-"&amp;D179</f>
        <v/>
      </c>
    </row>
    <row r="180">
      <c r="A180" s="6" t="inlineStr">
        <is>
          <t>T</t>
        </is>
      </c>
      <c r="B180" s="6" t="n">
        <v>4</v>
      </c>
      <c r="C180" s="6" t="inlineStr">
        <is>
          <t>D</t>
        </is>
      </c>
      <c r="D180" s="7" t="inlineStr">
        <is>
          <t>03</t>
        </is>
      </c>
      <c r="E180" s="7" t="n">
        <v>4</v>
      </c>
      <c r="F180" s="7">
        <f>A180&amp;B180&amp;"-"&amp;C180&amp;E180&amp;"-"&amp;D180</f>
        <v/>
      </c>
    </row>
    <row r="181">
      <c r="A181" s="6" t="inlineStr">
        <is>
          <t>T</t>
        </is>
      </c>
      <c r="B181" s="6" t="n">
        <v>4</v>
      </c>
      <c r="C181" s="6" t="inlineStr">
        <is>
          <t>D</t>
        </is>
      </c>
      <c r="D181" s="7" t="inlineStr">
        <is>
          <t>04</t>
        </is>
      </c>
      <c r="E181" s="7" t="n">
        <v>4</v>
      </c>
      <c r="F181" s="7">
        <f>A181&amp;B181&amp;"-"&amp;C181&amp;E181&amp;"-"&amp;D181</f>
        <v/>
      </c>
    </row>
    <row r="182">
      <c r="A182" s="6" t="inlineStr">
        <is>
          <t>T</t>
        </is>
      </c>
      <c r="B182" s="6" t="n">
        <v>4</v>
      </c>
      <c r="C182" s="6" t="inlineStr">
        <is>
          <t>D</t>
        </is>
      </c>
      <c r="D182" s="7" t="inlineStr">
        <is>
          <t>05</t>
        </is>
      </c>
      <c r="E182" s="7" t="n">
        <v>4</v>
      </c>
      <c r="F182" s="7">
        <f>A182&amp;B182&amp;"-"&amp;C182&amp;E182&amp;"-"&amp;D182</f>
        <v/>
      </c>
    </row>
    <row r="183">
      <c r="A183" s="6" t="inlineStr">
        <is>
          <t>T</t>
        </is>
      </c>
      <c r="B183" s="6" t="n">
        <v>4</v>
      </c>
      <c r="C183" s="6" t="inlineStr">
        <is>
          <t>D</t>
        </is>
      </c>
      <c r="D183" s="7" t="inlineStr">
        <is>
          <t>06</t>
        </is>
      </c>
      <c r="E183" s="7" t="n">
        <v>4</v>
      </c>
      <c r="F183" s="7">
        <f>A183&amp;B183&amp;"-"&amp;C183&amp;E183&amp;"-"&amp;D183</f>
        <v/>
      </c>
    </row>
    <row r="184">
      <c r="A184" s="6" t="inlineStr">
        <is>
          <t>T</t>
        </is>
      </c>
      <c r="B184" s="6" t="n">
        <v>5</v>
      </c>
      <c r="C184" s="7" t="inlineStr">
        <is>
          <t>A</t>
        </is>
      </c>
      <c r="D184" s="7" t="inlineStr">
        <is>
          <t>01</t>
        </is>
      </c>
      <c r="E184" s="7" t="n">
        <v>1</v>
      </c>
      <c r="F184" s="7">
        <f>A184&amp;B184&amp;"-"&amp;C184&amp;E184&amp;"-"&amp;D184</f>
        <v/>
      </c>
    </row>
    <row r="185">
      <c r="A185" s="6" t="inlineStr">
        <is>
          <t>T</t>
        </is>
      </c>
      <c r="B185" s="6" t="n">
        <v>5</v>
      </c>
      <c r="C185" s="7" t="inlineStr">
        <is>
          <t>A</t>
        </is>
      </c>
      <c r="D185" s="7" t="inlineStr">
        <is>
          <t>02</t>
        </is>
      </c>
      <c r="E185" s="7" t="n">
        <v>1</v>
      </c>
      <c r="F185" s="7">
        <f>A185&amp;B185&amp;"-"&amp;C185&amp;E185&amp;"-"&amp;D185</f>
        <v/>
      </c>
    </row>
    <row r="186">
      <c r="A186" s="6" t="inlineStr">
        <is>
          <t>T</t>
        </is>
      </c>
      <c r="B186" s="6" t="n">
        <v>5</v>
      </c>
      <c r="C186" s="7" t="inlineStr">
        <is>
          <t>A</t>
        </is>
      </c>
      <c r="D186" s="7" t="inlineStr">
        <is>
          <t>03</t>
        </is>
      </c>
      <c r="E186" s="7" t="n">
        <v>1</v>
      </c>
      <c r="F186" s="7">
        <f>A186&amp;B186&amp;"-"&amp;C186&amp;E186&amp;"-"&amp;D186</f>
        <v/>
      </c>
    </row>
    <row r="187">
      <c r="A187" s="6" t="inlineStr">
        <is>
          <t>T</t>
        </is>
      </c>
      <c r="B187" s="6" t="n">
        <v>5</v>
      </c>
      <c r="C187" s="7" t="inlineStr">
        <is>
          <t>A</t>
        </is>
      </c>
      <c r="D187" s="7" t="inlineStr">
        <is>
          <t>04</t>
        </is>
      </c>
      <c r="E187" s="7" t="n">
        <v>1</v>
      </c>
      <c r="F187" s="7">
        <f>A187&amp;B187&amp;"-"&amp;C187&amp;E187&amp;"-"&amp;D187</f>
        <v/>
      </c>
    </row>
    <row r="188">
      <c r="A188" s="6" t="inlineStr">
        <is>
          <t>T</t>
        </is>
      </c>
      <c r="B188" s="6" t="n">
        <v>5</v>
      </c>
      <c r="C188" s="7" t="inlineStr">
        <is>
          <t>A</t>
        </is>
      </c>
      <c r="D188" s="7" t="inlineStr">
        <is>
          <t>05</t>
        </is>
      </c>
      <c r="E188" s="7" t="n">
        <v>1</v>
      </c>
      <c r="F188" s="7">
        <f>A188&amp;B188&amp;"-"&amp;C188&amp;E188&amp;"-"&amp;D188</f>
        <v/>
      </c>
    </row>
    <row r="189">
      <c r="A189" s="6" t="inlineStr">
        <is>
          <t>T</t>
        </is>
      </c>
      <c r="B189" s="6" t="n">
        <v>5</v>
      </c>
      <c r="C189" s="7" t="inlineStr">
        <is>
          <t>A</t>
        </is>
      </c>
      <c r="D189" s="7" t="inlineStr">
        <is>
          <t>06</t>
        </is>
      </c>
      <c r="E189" s="7" t="n">
        <v>1</v>
      </c>
      <c r="F189" s="7">
        <f>A189&amp;B189&amp;"-"&amp;C189&amp;E189&amp;"-"&amp;D189</f>
        <v/>
      </c>
    </row>
    <row r="190">
      <c r="A190" s="6" t="inlineStr">
        <is>
          <t>T</t>
        </is>
      </c>
      <c r="B190" s="6" t="n">
        <v>5</v>
      </c>
      <c r="C190" s="7" t="inlineStr">
        <is>
          <t>A</t>
        </is>
      </c>
      <c r="D190" s="7" t="inlineStr">
        <is>
          <t>07</t>
        </is>
      </c>
      <c r="E190" s="7" t="n">
        <v>1</v>
      </c>
      <c r="F190" s="7">
        <f>A190&amp;B190&amp;"-"&amp;C190&amp;E190&amp;"-"&amp;D190</f>
        <v/>
      </c>
    </row>
    <row r="191">
      <c r="A191" s="6" t="inlineStr">
        <is>
          <t>T</t>
        </is>
      </c>
      <c r="B191" s="6" t="n">
        <v>5</v>
      </c>
      <c r="C191" s="7" t="inlineStr">
        <is>
          <t>A</t>
        </is>
      </c>
      <c r="D191" s="7" t="inlineStr">
        <is>
          <t>08</t>
        </is>
      </c>
      <c r="E191" s="7" t="n">
        <v>1</v>
      </c>
      <c r="F191" s="7">
        <f>A191&amp;B191&amp;"-"&amp;C191&amp;E191&amp;"-"&amp;D191</f>
        <v/>
      </c>
    </row>
    <row r="192">
      <c r="A192" s="6" t="inlineStr">
        <is>
          <t>T</t>
        </is>
      </c>
      <c r="B192" s="6" t="n">
        <v>5</v>
      </c>
      <c r="C192" s="7" t="inlineStr">
        <is>
          <t>A</t>
        </is>
      </c>
      <c r="D192" s="7" t="inlineStr">
        <is>
          <t>01</t>
        </is>
      </c>
      <c r="E192" s="7" t="n">
        <v>2</v>
      </c>
      <c r="F192" s="7">
        <f>A192&amp;B192&amp;"-"&amp;C192&amp;E192&amp;"-"&amp;D192</f>
        <v/>
      </c>
    </row>
    <row r="193">
      <c r="A193" s="6" t="inlineStr">
        <is>
          <t>T</t>
        </is>
      </c>
      <c r="B193" s="6" t="n">
        <v>5</v>
      </c>
      <c r="C193" s="7" t="inlineStr">
        <is>
          <t>A</t>
        </is>
      </c>
      <c r="D193" s="7" t="inlineStr">
        <is>
          <t>02</t>
        </is>
      </c>
      <c r="E193" s="7" t="n">
        <v>2</v>
      </c>
      <c r="F193" s="7">
        <f>A193&amp;B193&amp;"-"&amp;C193&amp;E193&amp;"-"&amp;D193</f>
        <v/>
      </c>
    </row>
    <row r="194">
      <c r="A194" s="6" t="inlineStr">
        <is>
          <t>T</t>
        </is>
      </c>
      <c r="B194" s="6" t="n">
        <v>5</v>
      </c>
      <c r="C194" s="7" t="inlineStr">
        <is>
          <t>A</t>
        </is>
      </c>
      <c r="D194" s="7" t="inlineStr">
        <is>
          <t>03</t>
        </is>
      </c>
      <c r="E194" s="7" t="n">
        <v>2</v>
      </c>
      <c r="F194" s="7">
        <f>A194&amp;B194&amp;"-"&amp;C194&amp;E194&amp;"-"&amp;D194</f>
        <v/>
      </c>
    </row>
    <row r="195">
      <c r="A195" s="6" t="inlineStr">
        <is>
          <t>T</t>
        </is>
      </c>
      <c r="B195" s="6" t="n">
        <v>5</v>
      </c>
      <c r="C195" s="7" t="inlineStr">
        <is>
          <t>A</t>
        </is>
      </c>
      <c r="D195" s="7" t="inlineStr">
        <is>
          <t>04</t>
        </is>
      </c>
      <c r="E195" s="7" t="n">
        <v>2</v>
      </c>
      <c r="F195" s="7">
        <f>A195&amp;B195&amp;"-"&amp;C195&amp;E195&amp;"-"&amp;D195</f>
        <v/>
      </c>
    </row>
    <row r="196">
      <c r="A196" s="6" t="inlineStr">
        <is>
          <t>T</t>
        </is>
      </c>
      <c r="B196" s="6" t="n">
        <v>5</v>
      </c>
      <c r="C196" s="7" t="inlineStr">
        <is>
          <t>A</t>
        </is>
      </c>
      <c r="D196" s="7" t="inlineStr">
        <is>
          <t>05</t>
        </is>
      </c>
      <c r="E196" s="7" t="n">
        <v>2</v>
      </c>
      <c r="F196" s="7">
        <f>A196&amp;B196&amp;"-"&amp;C196&amp;E196&amp;"-"&amp;D196</f>
        <v/>
      </c>
    </row>
    <row r="197">
      <c r="A197" s="6" t="inlineStr">
        <is>
          <t>T</t>
        </is>
      </c>
      <c r="B197" s="6" t="n">
        <v>5</v>
      </c>
      <c r="C197" s="7" t="inlineStr">
        <is>
          <t>A</t>
        </is>
      </c>
      <c r="D197" s="7" t="inlineStr">
        <is>
          <t>06</t>
        </is>
      </c>
      <c r="E197" s="7" t="n">
        <v>2</v>
      </c>
      <c r="F197" s="7">
        <f>A197&amp;B197&amp;"-"&amp;C197&amp;E197&amp;"-"&amp;D197</f>
        <v/>
      </c>
    </row>
    <row r="198">
      <c r="A198" s="6" t="inlineStr">
        <is>
          <t>T</t>
        </is>
      </c>
      <c r="B198" s="6" t="n">
        <v>5</v>
      </c>
      <c r="C198" s="7" t="inlineStr">
        <is>
          <t>A</t>
        </is>
      </c>
      <c r="D198" s="7" t="inlineStr">
        <is>
          <t>07</t>
        </is>
      </c>
      <c r="E198" s="7" t="n">
        <v>2</v>
      </c>
      <c r="F198" s="7">
        <f>A198&amp;B198&amp;"-"&amp;C198&amp;E198&amp;"-"&amp;D198</f>
        <v/>
      </c>
    </row>
    <row r="199">
      <c r="A199" s="6" t="inlineStr">
        <is>
          <t>T</t>
        </is>
      </c>
      <c r="B199" s="6" t="n">
        <v>5</v>
      </c>
      <c r="C199" s="7" t="inlineStr">
        <is>
          <t>A</t>
        </is>
      </c>
      <c r="D199" s="7" t="inlineStr">
        <is>
          <t>08</t>
        </is>
      </c>
      <c r="E199" s="7" t="n">
        <v>2</v>
      </c>
      <c r="F199" s="7">
        <f>A199&amp;B199&amp;"-"&amp;C199&amp;E199&amp;"-"&amp;D199</f>
        <v/>
      </c>
    </row>
    <row r="200">
      <c r="A200" s="6" t="inlineStr">
        <is>
          <t>T</t>
        </is>
      </c>
      <c r="B200" s="6" t="n">
        <v>5</v>
      </c>
      <c r="C200" s="7" t="inlineStr">
        <is>
          <t>A</t>
        </is>
      </c>
      <c r="D200" s="7" t="inlineStr">
        <is>
          <t>01</t>
        </is>
      </c>
      <c r="E200" s="7" t="n">
        <v>3</v>
      </c>
      <c r="F200" s="7">
        <f>A200&amp;B200&amp;"-"&amp;C200&amp;E200&amp;"-"&amp;D200</f>
        <v/>
      </c>
    </row>
    <row r="201">
      <c r="A201" s="6" t="inlineStr">
        <is>
          <t>T</t>
        </is>
      </c>
      <c r="B201" s="6" t="n">
        <v>5</v>
      </c>
      <c r="C201" s="7" t="inlineStr">
        <is>
          <t>A</t>
        </is>
      </c>
      <c r="D201" s="7" t="inlineStr">
        <is>
          <t>02</t>
        </is>
      </c>
      <c r="E201" s="7" t="n">
        <v>3</v>
      </c>
      <c r="F201" s="7">
        <f>A201&amp;B201&amp;"-"&amp;C201&amp;E201&amp;"-"&amp;D201</f>
        <v/>
      </c>
    </row>
    <row r="202">
      <c r="A202" s="6" t="inlineStr">
        <is>
          <t>T</t>
        </is>
      </c>
      <c r="B202" s="6" t="n">
        <v>5</v>
      </c>
      <c r="C202" s="7" t="inlineStr">
        <is>
          <t>A</t>
        </is>
      </c>
      <c r="D202" s="7" t="inlineStr">
        <is>
          <t>03</t>
        </is>
      </c>
      <c r="E202" s="7" t="n">
        <v>3</v>
      </c>
      <c r="F202" s="7">
        <f>A202&amp;B202&amp;"-"&amp;C202&amp;E202&amp;"-"&amp;D202</f>
        <v/>
      </c>
    </row>
    <row r="203">
      <c r="A203" s="6" t="inlineStr">
        <is>
          <t>T</t>
        </is>
      </c>
      <c r="B203" s="6" t="n">
        <v>5</v>
      </c>
      <c r="C203" s="7" t="inlineStr">
        <is>
          <t>A</t>
        </is>
      </c>
      <c r="D203" s="7" t="inlineStr">
        <is>
          <t>04</t>
        </is>
      </c>
      <c r="E203" s="7" t="n">
        <v>3</v>
      </c>
      <c r="F203" s="7">
        <f>A203&amp;B203&amp;"-"&amp;C203&amp;E203&amp;"-"&amp;D203</f>
        <v/>
      </c>
    </row>
    <row r="204">
      <c r="A204" s="6" t="inlineStr">
        <is>
          <t>T</t>
        </is>
      </c>
      <c r="B204" s="6" t="n">
        <v>5</v>
      </c>
      <c r="C204" s="7" t="inlineStr">
        <is>
          <t>A</t>
        </is>
      </c>
      <c r="D204" s="7" t="inlineStr">
        <is>
          <t>05</t>
        </is>
      </c>
      <c r="E204" s="7" t="n">
        <v>3</v>
      </c>
      <c r="F204" s="7">
        <f>A204&amp;B204&amp;"-"&amp;C204&amp;E204&amp;"-"&amp;D204</f>
        <v/>
      </c>
    </row>
    <row r="205">
      <c r="A205" s="6" t="inlineStr">
        <is>
          <t>T</t>
        </is>
      </c>
      <c r="B205" s="6" t="n">
        <v>5</v>
      </c>
      <c r="C205" s="7" t="inlineStr">
        <is>
          <t>A</t>
        </is>
      </c>
      <c r="D205" s="7" t="inlineStr">
        <is>
          <t>06</t>
        </is>
      </c>
      <c r="E205" s="7" t="n">
        <v>3</v>
      </c>
      <c r="F205" s="7">
        <f>A205&amp;B205&amp;"-"&amp;C205&amp;E205&amp;"-"&amp;D205</f>
        <v/>
      </c>
    </row>
    <row r="206">
      <c r="A206" s="6" t="inlineStr">
        <is>
          <t>T</t>
        </is>
      </c>
      <c r="B206" s="6" t="n">
        <v>5</v>
      </c>
      <c r="C206" s="7" t="inlineStr">
        <is>
          <t>A</t>
        </is>
      </c>
      <c r="D206" s="7" t="inlineStr">
        <is>
          <t>07</t>
        </is>
      </c>
      <c r="E206" s="7" t="n">
        <v>3</v>
      </c>
      <c r="F206" s="7">
        <f>A206&amp;B206&amp;"-"&amp;C206&amp;E206&amp;"-"&amp;D206</f>
        <v/>
      </c>
    </row>
    <row r="207">
      <c r="A207" s="6" t="inlineStr">
        <is>
          <t>T</t>
        </is>
      </c>
      <c r="B207" s="6" t="n">
        <v>5</v>
      </c>
      <c r="C207" s="7" t="inlineStr">
        <is>
          <t>A</t>
        </is>
      </c>
      <c r="D207" s="7" t="inlineStr">
        <is>
          <t>08</t>
        </is>
      </c>
      <c r="E207" s="7" t="n">
        <v>3</v>
      </c>
      <c r="F207" s="7">
        <f>A207&amp;B207&amp;"-"&amp;C207&amp;E207&amp;"-"&amp;D207</f>
        <v/>
      </c>
    </row>
    <row r="208">
      <c r="A208" s="8" t="inlineStr">
        <is>
          <t>T</t>
        </is>
      </c>
      <c r="B208" s="8" t="n">
        <v>5</v>
      </c>
      <c r="C208" s="9" t="inlineStr">
        <is>
          <t>A</t>
        </is>
      </c>
      <c r="D208" s="9" t="inlineStr">
        <is>
          <t>03</t>
        </is>
      </c>
      <c r="E208" s="9" t="inlineStr">
        <is>
          <t>M</t>
        </is>
      </c>
      <c r="F208" s="9">
        <f>A208&amp;B208&amp;"-"&amp;C208&amp;E208&amp;"-"&amp;D208</f>
        <v/>
      </c>
    </row>
    <row r="209">
      <c r="A209" s="6" t="inlineStr">
        <is>
          <t>T</t>
        </is>
      </c>
      <c r="B209" s="6" t="n">
        <v>5</v>
      </c>
      <c r="C209" s="7" t="inlineStr">
        <is>
          <t>A</t>
        </is>
      </c>
      <c r="D209" s="7" t="n">
        <v>1</v>
      </c>
      <c r="E209" s="7" t="n">
        <v>4</v>
      </c>
      <c r="F209" s="7">
        <f>A209&amp;B209&amp;"-"&amp;C209&amp;E209&amp;"-"&amp;D209</f>
        <v/>
      </c>
    </row>
    <row r="210">
      <c r="A210" s="6" t="inlineStr">
        <is>
          <t>T</t>
        </is>
      </c>
      <c r="B210" s="6" t="n">
        <v>5</v>
      </c>
      <c r="C210" s="7" t="inlineStr">
        <is>
          <t>A</t>
        </is>
      </c>
      <c r="D210" s="7" t="n">
        <v>2</v>
      </c>
      <c r="E210" s="7" t="n">
        <v>4</v>
      </c>
      <c r="F210" s="7">
        <f>A210&amp;B210&amp;"-"&amp;C210&amp;E210&amp;"-"&amp;D210</f>
        <v/>
      </c>
    </row>
    <row r="211">
      <c r="A211" s="6" t="inlineStr">
        <is>
          <t>T</t>
        </is>
      </c>
      <c r="B211" s="6" t="n">
        <v>5</v>
      </c>
      <c r="C211" s="7" t="inlineStr">
        <is>
          <t>A</t>
        </is>
      </c>
      <c r="D211" s="7" t="n">
        <v>3</v>
      </c>
      <c r="E211" s="7" t="n">
        <v>4</v>
      </c>
      <c r="F211" s="7">
        <f>A211&amp;B211&amp;"-"&amp;C211&amp;E211&amp;"-"&amp;D211</f>
        <v/>
      </c>
    </row>
    <row r="212">
      <c r="A212" s="6" t="inlineStr">
        <is>
          <t>T</t>
        </is>
      </c>
      <c r="B212" s="6" t="n">
        <v>5</v>
      </c>
      <c r="C212" s="7" t="inlineStr">
        <is>
          <t>A</t>
        </is>
      </c>
      <c r="D212" s="7" t="n">
        <v>4</v>
      </c>
      <c r="E212" s="7" t="n">
        <v>4</v>
      </c>
      <c r="F212" s="7">
        <f>A212&amp;B212&amp;"-"&amp;C212&amp;E212&amp;"-"&amp;D212</f>
        <v/>
      </c>
    </row>
    <row r="213">
      <c r="A213" s="6" t="inlineStr">
        <is>
          <t>T</t>
        </is>
      </c>
      <c r="B213" s="6" t="n">
        <v>5</v>
      </c>
      <c r="C213" s="6" t="inlineStr">
        <is>
          <t>B</t>
        </is>
      </c>
      <c r="D213" s="7" t="inlineStr">
        <is>
          <t>01</t>
        </is>
      </c>
      <c r="E213" s="7" t="n">
        <v>1</v>
      </c>
      <c r="F213" s="7">
        <f>A213&amp;B213&amp;"-"&amp;C213&amp;E213&amp;"-"&amp;D213</f>
        <v/>
      </c>
    </row>
    <row r="214">
      <c r="A214" s="6" t="inlineStr">
        <is>
          <t>T</t>
        </is>
      </c>
      <c r="B214" s="6" t="n">
        <v>5</v>
      </c>
      <c r="C214" s="6" t="inlineStr">
        <is>
          <t>B</t>
        </is>
      </c>
      <c r="D214" s="7" t="inlineStr">
        <is>
          <t>02</t>
        </is>
      </c>
      <c r="E214" s="7" t="n">
        <v>1</v>
      </c>
      <c r="F214" s="7">
        <f>A214&amp;B214&amp;"-"&amp;C214&amp;E214&amp;"-"&amp;D214</f>
        <v/>
      </c>
    </row>
    <row r="215">
      <c r="A215" s="6" t="inlineStr">
        <is>
          <t>T</t>
        </is>
      </c>
      <c r="B215" s="6" t="n">
        <v>5</v>
      </c>
      <c r="C215" s="6" t="inlineStr">
        <is>
          <t>B</t>
        </is>
      </c>
      <c r="D215" s="7" t="inlineStr">
        <is>
          <t>03</t>
        </is>
      </c>
      <c r="E215" s="7" t="n">
        <v>1</v>
      </c>
      <c r="F215" s="7">
        <f>A215&amp;B215&amp;"-"&amp;C215&amp;E215&amp;"-"&amp;D215</f>
        <v/>
      </c>
    </row>
    <row r="216">
      <c r="A216" s="6" t="inlineStr">
        <is>
          <t>T</t>
        </is>
      </c>
      <c r="B216" s="6" t="n">
        <v>5</v>
      </c>
      <c r="C216" s="6" t="inlineStr">
        <is>
          <t>B</t>
        </is>
      </c>
      <c r="D216" s="7" t="inlineStr">
        <is>
          <t>04</t>
        </is>
      </c>
      <c r="E216" s="7" t="n">
        <v>1</v>
      </c>
      <c r="F216" s="7">
        <f>A216&amp;B216&amp;"-"&amp;C216&amp;E216&amp;"-"&amp;D216</f>
        <v/>
      </c>
    </row>
    <row r="217">
      <c r="A217" s="6" t="inlineStr">
        <is>
          <t>T</t>
        </is>
      </c>
      <c r="B217" s="6" t="n">
        <v>5</v>
      </c>
      <c r="C217" s="6" t="inlineStr">
        <is>
          <t>B</t>
        </is>
      </c>
      <c r="D217" s="7" t="inlineStr">
        <is>
          <t>05</t>
        </is>
      </c>
      <c r="E217" s="7" t="n">
        <v>1</v>
      </c>
      <c r="F217" s="7">
        <f>A217&amp;B217&amp;"-"&amp;C217&amp;E217&amp;"-"&amp;D217</f>
        <v/>
      </c>
    </row>
    <row r="218">
      <c r="A218" s="6" t="inlineStr">
        <is>
          <t>T</t>
        </is>
      </c>
      <c r="B218" s="6" t="n">
        <v>5</v>
      </c>
      <c r="C218" s="6" t="inlineStr">
        <is>
          <t>B</t>
        </is>
      </c>
      <c r="D218" s="7" t="inlineStr">
        <is>
          <t>01</t>
        </is>
      </c>
      <c r="E218" s="7" t="n">
        <v>2</v>
      </c>
      <c r="F218" s="7">
        <f>A218&amp;B218&amp;"-"&amp;C218&amp;E218&amp;"-"&amp;D218</f>
        <v/>
      </c>
    </row>
    <row r="219">
      <c r="A219" s="6" t="inlineStr">
        <is>
          <t>T</t>
        </is>
      </c>
      <c r="B219" s="6" t="n">
        <v>5</v>
      </c>
      <c r="C219" s="6" t="inlineStr">
        <is>
          <t>B</t>
        </is>
      </c>
      <c r="D219" s="7" t="inlineStr">
        <is>
          <t>02</t>
        </is>
      </c>
      <c r="E219" s="7" t="n">
        <v>2</v>
      </c>
      <c r="F219" s="7">
        <f>A219&amp;B219&amp;"-"&amp;C219&amp;E219&amp;"-"&amp;D219</f>
        <v/>
      </c>
    </row>
    <row r="220">
      <c r="A220" s="6" t="inlineStr">
        <is>
          <t>T</t>
        </is>
      </c>
      <c r="B220" s="6" t="n">
        <v>5</v>
      </c>
      <c r="C220" s="6" t="inlineStr">
        <is>
          <t>B</t>
        </is>
      </c>
      <c r="D220" s="7" t="inlineStr">
        <is>
          <t>03</t>
        </is>
      </c>
      <c r="E220" s="7" t="n">
        <v>2</v>
      </c>
      <c r="F220" s="7">
        <f>A220&amp;B220&amp;"-"&amp;C220&amp;E220&amp;"-"&amp;D220</f>
        <v/>
      </c>
    </row>
    <row r="221">
      <c r="A221" s="6" t="inlineStr">
        <is>
          <t>T</t>
        </is>
      </c>
      <c r="B221" s="6" t="n">
        <v>5</v>
      </c>
      <c r="C221" s="6" t="inlineStr">
        <is>
          <t>B</t>
        </is>
      </c>
      <c r="D221" s="7" t="inlineStr">
        <is>
          <t>04</t>
        </is>
      </c>
      <c r="E221" s="7" t="n">
        <v>2</v>
      </c>
      <c r="F221" s="7">
        <f>A221&amp;B221&amp;"-"&amp;C221&amp;E221&amp;"-"&amp;D221</f>
        <v/>
      </c>
    </row>
    <row r="222">
      <c r="A222" s="6" t="inlineStr">
        <is>
          <t>T</t>
        </is>
      </c>
      <c r="B222" s="6" t="n">
        <v>5</v>
      </c>
      <c r="C222" s="6" t="inlineStr">
        <is>
          <t>B</t>
        </is>
      </c>
      <c r="D222" s="7" t="inlineStr">
        <is>
          <t>05</t>
        </is>
      </c>
      <c r="E222" s="7" t="n">
        <v>2</v>
      </c>
      <c r="F222" s="7">
        <f>A222&amp;B222&amp;"-"&amp;C222&amp;E222&amp;"-"&amp;D222</f>
        <v/>
      </c>
    </row>
    <row r="223">
      <c r="A223" s="6" t="inlineStr">
        <is>
          <t>T</t>
        </is>
      </c>
      <c r="B223" s="6" t="n">
        <v>5</v>
      </c>
      <c r="C223" s="6" t="inlineStr">
        <is>
          <t>B</t>
        </is>
      </c>
      <c r="D223" s="7" t="inlineStr">
        <is>
          <t>06</t>
        </is>
      </c>
      <c r="E223" s="7" t="n">
        <v>2</v>
      </c>
      <c r="F223" s="7">
        <f>A223&amp;B223&amp;"-"&amp;C223&amp;E223&amp;"-"&amp;D223</f>
        <v/>
      </c>
    </row>
    <row r="224">
      <c r="A224" s="6" t="inlineStr">
        <is>
          <t>T</t>
        </is>
      </c>
      <c r="B224" s="6" t="n">
        <v>5</v>
      </c>
      <c r="C224" s="6" t="inlineStr">
        <is>
          <t>C</t>
        </is>
      </c>
      <c r="D224" s="7" t="inlineStr">
        <is>
          <t>01</t>
        </is>
      </c>
      <c r="E224" s="7" t="n">
        <v>1</v>
      </c>
      <c r="F224" s="7">
        <f>A224&amp;B224&amp;"-"&amp;C224&amp;E224&amp;"-"&amp;D224</f>
        <v/>
      </c>
    </row>
    <row r="225">
      <c r="A225" s="6" t="inlineStr">
        <is>
          <t>T</t>
        </is>
      </c>
      <c r="B225" s="6" t="n">
        <v>5</v>
      </c>
      <c r="C225" s="6" t="inlineStr">
        <is>
          <t>C</t>
        </is>
      </c>
      <c r="D225" s="7" t="inlineStr">
        <is>
          <t>02</t>
        </is>
      </c>
      <c r="E225" s="7" t="n">
        <v>1</v>
      </c>
      <c r="F225" s="7">
        <f>A225&amp;B225&amp;"-"&amp;C225&amp;E225&amp;"-"&amp;D225</f>
        <v/>
      </c>
    </row>
    <row r="226">
      <c r="A226" s="6" t="inlineStr">
        <is>
          <t>T</t>
        </is>
      </c>
      <c r="B226" s="6" t="n">
        <v>5</v>
      </c>
      <c r="C226" s="6" t="inlineStr">
        <is>
          <t>C</t>
        </is>
      </c>
      <c r="D226" s="7" t="inlineStr">
        <is>
          <t>03</t>
        </is>
      </c>
      <c r="E226" s="7" t="n">
        <v>1</v>
      </c>
      <c r="F226" s="7">
        <f>A226&amp;B226&amp;"-"&amp;C226&amp;E226&amp;"-"&amp;D226</f>
        <v/>
      </c>
    </row>
    <row r="227">
      <c r="A227" s="6" t="inlineStr">
        <is>
          <t>T</t>
        </is>
      </c>
      <c r="B227" s="6" t="n">
        <v>5</v>
      </c>
      <c r="C227" s="6" t="inlineStr">
        <is>
          <t>C</t>
        </is>
      </c>
      <c r="D227" s="7" t="inlineStr">
        <is>
          <t>04</t>
        </is>
      </c>
      <c r="E227" s="7" t="n">
        <v>1</v>
      </c>
      <c r="F227" s="7">
        <f>A227&amp;B227&amp;"-"&amp;C227&amp;E227&amp;"-"&amp;D227</f>
        <v/>
      </c>
    </row>
    <row r="228">
      <c r="A228" s="6" t="inlineStr">
        <is>
          <t>T</t>
        </is>
      </c>
      <c r="B228" s="6" t="n">
        <v>5</v>
      </c>
      <c r="C228" s="6" t="inlineStr">
        <is>
          <t>C</t>
        </is>
      </c>
      <c r="D228" s="7" t="inlineStr">
        <is>
          <t>05</t>
        </is>
      </c>
      <c r="E228" s="7" t="n">
        <v>1</v>
      </c>
      <c r="F228" s="7">
        <f>A228&amp;B228&amp;"-"&amp;C228&amp;E228&amp;"-"&amp;D228</f>
        <v/>
      </c>
    </row>
    <row r="229">
      <c r="A229" s="6" t="inlineStr">
        <is>
          <t>T</t>
        </is>
      </c>
      <c r="B229" s="6" t="n">
        <v>5</v>
      </c>
      <c r="C229" s="6" t="inlineStr">
        <is>
          <t>C</t>
        </is>
      </c>
      <c r="D229" s="7" t="inlineStr">
        <is>
          <t>06</t>
        </is>
      </c>
      <c r="E229" s="7" t="n">
        <v>1</v>
      </c>
      <c r="F229" s="7">
        <f>A229&amp;B229&amp;"-"&amp;C229&amp;E229&amp;"-"&amp;D229</f>
        <v/>
      </c>
    </row>
    <row r="230">
      <c r="A230" s="6" t="inlineStr">
        <is>
          <t>T</t>
        </is>
      </c>
      <c r="B230" s="6" t="n">
        <v>5</v>
      </c>
      <c r="C230" s="6" t="inlineStr">
        <is>
          <t>C</t>
        </is>
      </c>
      <c r="D230" s="7" t="inlineStr">
        <is>
          <t>01</t>
        </is>
      </c>
      <c r="E230" s="7" t="n">
        <v>2</v>
      </c>
      <c r="F230" s="7">
        <f>A230&amp;B230&amp;"-"&amp;C230&amp;E230&amp;"-"&amp;D230</f>
        <v/>
      </c>
    </row>
    <row r="231">
      <c r="A231" s="6" t="inlineStr">
        <is>
          <t>T</t>
        </is>
      </c>
      <c r="B231" s="6" t="n">
        <v>5</v>
      </c>
      <c r="C231" s="6" t="inlineStr">
        <is>
          <t>C</t>
        </is>
      </c>
      <c r="D231" s="7" t="inlineStr">
        <is>
          <t>02</t>
        </is>
      </c>
      <c r="E231" s="7" t="n">
        <v>2</v>
      </c>
      <c r="F231" s="7">
        <f>A231&amp;B231&amp;"-"&amp;C231&amp;E231&amp;"-"&amp;D231</f>
        <v/>
      </c>
    </row>
    <row r="232">
      <c r="A232" s="6" t="inlineStr">
        <is>
          <t>T</t>
        </is>
      </c>
      <c r="B232" s="6" t="n">
        <v>5</v>
      </c>
      <c r="C232" s="6" t="inlineStr">
        <is>
          <t>C</t>
        </is>
      </c>
      <c r="D232" s="7" t="inlineStr">
        <is>
          <t>03</t>
        </is>
      </c>
      <c r="E232" s="7" t="n">
        <v>2</v>
      </c>
      <c r="F232" s="7">
        <f>A232&amp;B232&amp;"-"&amp;C232&amp;E232&amp;"-"&amp;D232</f>
        <v/>
      </c>
    </row>
    <row r="233">
      <c r="A233" s="6" t="inlineStr">
        <is>
          <t>T</t>
        </is>
      </c>
      <c r="B233" s="6" t="n">
        <v>5</v>
      </c>
      <c r="C233" s="6" t="inlineStr">
        <is>
          <t>C</t>
        </is>
      </c>
      <c r="D233" s="7" t="inlineStr">
        <is>
          <t>04</t>
        </is>
      </c>
      <c r="E233" s="7" t="n">
        <v>2</v>
      </c>
      <c r="F233" s="7">
        <f>A233&amp;B233&amp;"-"&amp;C233&amp;E233&amp;"-"&amp;D233</f>
        <v/>
      </c>
    </row>
    <row r="234">
      <c r="A234" s="6" t="inlineStr">
        <is>
          <t>T</t>
        </is>
      </c>
      <c r="B234" s="6" t="n">
        <v>5</v>
      </c>
      <c r="C234" s="6" t="inlineStr">
        <is>
          <t>C</t>
        </is>
      </c>
      <c r="D234" s="7" t="inlineStr">
        <is>
          <t>05</t>
        </is>
      </c>
      <c r="E234" s="7" t="n">
        <v>2</v>
      </c>
      <c r="F234" s="7">
        <f>A234&amp;B234&amp;"-"&amp;C234&amp;E234&amp;"-"&amp;D234</f>
        <v/>
      </c>
    </row>
    <row r="235">
      <c r="A235" s="6" t="inlineStr">
        <is>
          <t>T</t>
        </is>
      </c>
      <c r="B235" s="6" t="n">
        <v>5</v>
      </c>
      <c r="C235" s="6" t="inlineStr">
        <is>
          <t>C</t>
        </is>
      </c>
      <c r="D235" s="7" t="inlineStr">
        <is>
          <t>06</t>
        </is>
      </c>
      <c r="E235" s="7" t="n">
        <v>2</v>
      </c>
      <c r="F235" s="7">
        <f>A235&amp;B235&amp;"-"&amp;C235&amp;E235&amp;"-"&amp;D235</f>
        <v/>
      </c>
    </row>
    <row r="236">
      <c r="A236" s="6" t="inlineStr">
        <is>
          <t>T</t>
        </is>
      </c>
      <c r="B236" s="6" t="n">
        <v>5</v>
      </c>
      <c r="C236" s="6" t="inlineStr">
        <is>
          <t>C</t>
        </is>
      </c>
      <c r="D236" s="7" t="inlineStr">
        <is>
          <t>01</t>
        </is>
      </c>
      <c r="E236" s="7" t="n">
        <v>3</v>
      </c>
      <c r="F236" s="7">
        <f>A236&amp;B236&amp;"-"&amp;C236&amp;E236&amp;"-"&amp;D236</f>
        <v/>
      </c>
    </row>
    <row r="237">
      <c r="A237" s="6" t="inlineStr">
        <is>
          <t>T</t>
        </is>
      </c>
      <c r="B237" s="6" t="n">
        <v>5</v>
      </c>
      <c r="C237" s="6" t="inlineStr">
        <is>
          <t>C</t>
        </is>
      </c>
      <c r="D237" s="7" t="inlineStr">
        <is>
          <t>02</t>
        </is>
      </c>
      <c r="E237" s="7" t="n">
        <v>3</v>
      </c>
      <c r="F237" s="7">
        <f>A237&amp;B237&amp;"-"&amp;C237&amp;E237&amp;"-"&amp;D237</f>
        <v/>
      </c>
    </row>
    <row r="238">
      <c r="A238" s="6" t="inlineStr">
        <is>
          <t>T</t>
        </is>
      </c>
      <c r="B238" s="6" t="n">
        <v>5</v>
      </c>
      <c r="C238" s="6" t="inlineStr">
        <is>
          <t>C</t>
        </is>
      </c>
      <c r="D238" s="7" t="inlineStr">
        <is>
          <t>03</t>
        </is>
      </c>
      <c r="E238" s="7" t="n">
        <v>3</v>
      </c>
      <c r="F238" s="7">
        <f>A238&amp;B238&amp;"-"&amp;C238&amp;E238&amp;"-"&amp;D238</f>
        <v/>
      </c>
    </row>
    <row r="239">
      <c r="A239" s="6" t="inlineStr">
        <is>
          <t>T</t>
        </is>
      </c>
      <c r="B239" s="6" t="n">
        <v>5</v>
      </c>
      <c r="C239" s="6" t="inlineStr">
        <is>
          <t>C</t>
        </is>
      </c>
      <c r="D239" s="7" t="inlineStr">
        <is>
          <t>04</t>
        </is>
      </c>
      <c r="E239" s="7" t="n">
        <v>3</v>
      </c>
      <c r="F239" s="7">
        <f>A239&amp;B239&amp;"-"&amp;C239&amp;E239&amp;"-"&amp;D239</f>
        <v/>
      </c>
    </row>
    <row r="240">
      <c r="A240" s="6" t="inlineStr">
        <is>
          <t>T</t>
        </is>
      </c>
      <c r="B240" s="6" t="n">
        <v>5</v>
      </c>
      <c r="C240" s="6" t="inlineStr">
        <is>
          <t>C</t>
        </is>
      </c>
      <c r="D240" s="7" t="inlineStr">
        <is>
          <t>05</t>
        </is>
      </c>
      <c r="E240" s="7" t="n">
        <v>3</v>
      </c>
      <c r="F240" s="7">
        <f>A240&amp;B240&amp;"-"&amp;C240&amp;E240&amp;"-"&amp;D240</f>
        <v/>
      </c>
    </row>
    <row r="241">
      <c r="A241" s="6" t="inlineStr">
        <is>
          <t>T</t>
        </is>
      </c>
      <c r="B241" s="6" t="n">
        <v>5</v>
      </c>
      <c r="C241" s="6" t="inlineStr">
        <is>
          <t>C</t>
        </is>
      </c>
      <c r="D241" s="7" t="inlineStr">
        <is>
          <t>06</t>
        </is>
      </c>
      <c r="E241" s="7" t="n">
        <v>3</v>
      </c>
      <c r="F241" s="7">
        <f>A241&amp;B241&amp;"-"&amp;C241&amp;E241&amp;"-"&amp;D241</f>
        <v/>
      </c>
    </row>
    <row r="242">
      <c r="A242" s="6" t="inlineStr">
        <is>
          <t>T</t>
        </is>
      </c>
      <c r="B242" s="6" t="n">
        <v>5</v>
      </c>
      <c r="C242" s="6" t="inlineStr">
        <is>
          <t>C</t>
        </is>
      </c>
      <c r="D242" s="7" t="inlineStr">
        <is>
          <t>01</t>
        </is>
      </c>
      <c r="E242" s="7" t="n">
        <v>4</v>
      </c>
      <c r="F242" s="7">
        <f>A242&amp;B242&amp;"-"&amp;C242&amp;E242&amp;"-"&amp;D242</f>
        <v/>
      </c>
    </row>
    <row r="243">
      <c r="A243" s="6" t="inlineStr">
        <is>
          <t>T</t>
        </is>
      </c>
      <c r="B243" s="6" t="n">
        <v>5</v>
      </c>
      <c r="C243" s="6" t="inlineStr">
        <is>
          <t>C</t>
        </is>
      </c>
      <c r="D243" s="7" t="inlineStr">
        <is>
          <t>02</t>
        </is>
      </c>
      <c r="E243" s="7" t="n">
        <v>4</v>
      </c>
      <c r="F243" s="7">
        <f>A243&amp;B243&amp;"-"&amp;C243&amp;E243&amp;"-"&amp;D243</f>
        <v/>
      </c>
    </row>
    <row r="244">
      <c r="A244" s="6" t="inlineStr">
        <is>
          <t>T</t>
        </is>
      </c>
      <c r="B244" s="6" t="n">
        <v>5</v>
      </c>
      <c r="C244" s="6" t="inlineStr">
        <is>
          <t>C</t>
        </is>
      </c>
      <c r="D244" s="7" t="inlineStr">
        <is>
          <t>03</t>
        </is>
      </c>
      <c r="E244" s="7" t="n">
        <v>4</v>
      </c>
      <c r="F244" s="7">
        <f>A244&amp;B244&amp;"-"&amp;C244&amp;E244&amp;"-"&amp;D244</f>
        <v/>
      </c>
    </row>
    <row r="245">
      <c r="A245" s="6" t="inlineStr">
        <is>
          <t>T</t>
        </is>
      </c>
      <c r="B245" s="6" t="n">
        <v>5</v>
      </c>
      <c r="C245" s="6" t="inlineStr">
        <is>
          <t>C</t>
        </is>
      </c>
      <c r="D245" s="7" t="inlineStr">
        <is>
          <t>04</t>
        </is>
      </c>
      <c r="E245" s="7" t="n">
        <v>4</v>
      </c>
      <c r="F245" s="7">
        <f>A245&amp;B245&amp;"-"&amp;C245&amp;E245&amp;"-"&amp;D245</f>
        <v/>
      </c>
    </row>
    <row r="246">
      <c r="A246" s="6" t="inlineStr">
        <is>
          <t>T</t>
        </is>
      </c>
      <c r="B246" s="6" t="n">
        <v>5</v>
      </c>
      <c r="C246" s="6" t="inlineStr">
        <is>
          <t>C</t>
        </is>
      </c>
      <c r="D246" s="7" t="inlineStr">
        <is>
          <t>05</t>
        </is>
      </c>
      <c r="E246" s="7" t="n">
        <v>4</v>
      </c>
      <c r="F246" s="7">
        <f>A246&amp;B246&amp;"-"&amp;C246&amp;E246&amp;"-"&amp;D246</f>
        <v/>
      </c>
    </row>
    <row r="247">
      <c r="A247" s="6" t="inlineStr">
        <is>
          <t>T</t>
        </is>
      </c>
      <c r="B247" s="6" t="n">
        <v>5</v>
      </c>
      <c r="C247" s="6" t="inlineStr">
        <is>
          <t>C</t>
        </is>
      </c>
      <c r="D247" s="7" t="inlineStr">
        <is>
          <t>06</t>
        </is>
      </c>
      <c r="E247" s="7" t="n">
        <v>4</v>
      </c>
      <c r="F247" s="7">
        <f>A247&amp;B247&amp;"-"&amp;C247&amp;E247&amp;"-"&amp;D247</f>
        <v/>
      </c>
    </row>
    <row r="248">
      <c r="A248" s="6" t="inlineStr">
        <is>
          <t>T</t>
        </is>
      </c>
      <c r="B248" s="6" t="n">
        <v>5</v>
      </c>
      <c r="C248" s="6" t="inlineStr">
        <is>
          <t>C</t>
        </is>
      </c>
      <c r="D248" s="7" t="inlineStr">
        <is>
          <t>01</t>
        </is>
      </c>
      <c r="E248" s="7" t="n">
        <v>5</v>
      </c>
      <c r="F248" s="7">
        <f>A248&amp;B248&amp;"-"&amp;C248&amp;E248&amp;"-"&amp;D248</f>
        <v/>
      </c>
    </row>
    <row r="249">
      <c r="A249" s="6" t="inlineStr">
        <is>
          <t>T</t>
        </is>
      </c>
      <c r="B249" s="6" t="n">
        <v>5</v>
      </c>
      <c r="C249" s="6" t="inlineStr">
        <is>
          <t>C</t>
        </is>
      </c>
      <c r="D249" s="7" t="inlineStr">
        <is>
          <t>02</t>
        </is>
      </c>
      <c r="E249" s="7" t="n">
        <v>5</v>
      </c>
      <c r="F249" s="7">
        <f>A249&amp;B249&amp;"-"&amp;C249&amp;E249&amp;"-"&amp;D249</f>
        <v/>
      </c>
    </row>
    <row r="250">
      <c r="A250" s="6" t="inlineStr">
        <is>
          <t>T</t>
        </is>
      </c>
      <c r="B250" s="6" t="n">
        <v>5</v>
      </c>
      <c r="C250" s="6" t="inlineStr">
        <is>
          <t>C</t>
        </is>
      </c>
      <c r="D250" s="7" t="inlineStr">
        <is>
          <t>03</t>
        </is>
      </c>
      <c r="E250" s="7" t="n">
        <v>5</v>
      </c>
      <c r="F250" s="7">
        <f>A250&amp;B250&amp;"-"&amp;C250&amp;E250&amp;"-"&amp;D250</f>
        <v/>
      </c>
    </row>
    <row r="251">
      <c r="A251" s="6" t="inlineStr">
        <is>
          <t>T</t>
        </is>
      </c>
      <c r="B251" s="6" t="n">
        <v>5</v>
      </c>
      <c r="C251" s="6" t="inlineStr">
        <is>
          <t>C</t>
        </is>
      </c>
      <c r="D251" s="7" t="inlineStr">
        <is>
          <t>04</t>
        </is>
      </c>
      <c r="E251" s="7" t="n">
        <v>5</v>
      </c>
      <c r="F251" s="7">
        <f>A251&amp;B251&amp;"-"&amp;C251&amp;E251&amp;"-"&amp;D251</f>
        <v/>
      </c>
    </row>
    <row r="252">
      <c r="A252" s="6" t="inlineStr">
        <is>
          <t>T</t>
        </is>
      </c>
      <c r="B252" s="6" t="n">
        <v>5</v>
      </c>
      <c r="C252" s="6" t="inlineStr">
        <is>
          <t>C</t>
        </is>
      </c>
      <c r="D252" s="7" t="inlineStr">
        <is>
          <t>05</t>
        </is>
      </c>
      <c r="E252" s="7" t="n">
        <v>5</v>
      </c>
      <c r="F252" s="7">
        <f>A252&amp;B252&amp;"-"&amp;C252&amp;E252&amp;"-"&amp;D252</f>
        <v/>
      </c>
    </row>
    <row r="253">
      <c r="A253" s="6" t="inlineStr">
        <is>
          <t>T</t>
        </is>
      </c>
      <c r="B253" s="6" t="n">
        <v>5</v>
      </c>
      <c r="C253" s="6" t="inlineStr">
        <is>
          <t>C</t>
        </is>
      </c>
      <c r="D253" s="7" t="inlineStr">
        <is>
          <t>06</t>
        </is>
      </c>
      <c r="E253" s="7" t="n">
        <v>5</v>
      </c>
      <c r="F253" s="7">
        <f>A253&amp;B253&amp;"-"&amp;C253&amp;E253&amp;"-"&amp;D253</f>
        <v/>
      </c>
    </row>
    <row r="254">
      <c r="A254" s="6" t="inlineStr">
        <is>
          <t>T</t>
        </is>
      </c>
      <c r="B254" s="6" t="n">
        <v>5</v>
      </c>
      <c r="C254" s="6" t="inlineStr">
        <is>
          <t>C</t>
        </is>
      </c>
      <c r="D254" s="7" t="inlineStr">
        <is>
          <t>01</t>
        </is>
      </c>
      <c r="E254" s="7" t="n">
        <v>6</v>
      </c>
      <c r="F254" s="7">
        <f>A254&amp;B254&amp;"-"&amp;C254&amp;E254&amp;"-"&amp;D254</f>
        <v/>
      </c>
    </row>
    <row r="255">
      <c r="A255" s="6" t="inlineStr">
        <is>
          <t>T</t>
        </is>
      </c>
      <c r="B255" s="6" t="n">
        <v>5</v>
      </c>
      <c r="C255" s="6" t="inlineStr">
        <is>
          <t>C</t>
        </is>
      </c>
      <c r="D255" s="7" t="inlineStr">
        <is>
          <t>02</t>
        </is>
      </c>
      <c r="E255" s="7" t="n">
        <v>6</v>
      </c>
      <c r="F255" s="7">
        <f>A255&amp;B255&amp;"-"&amp;C255&amp;E255&amp;"-"&amp;D255</f>
        <v/>
      </c>
    </row>
    <row r="256">
      <c r="A256" s="6" t="inlineStr">
        <is>
          <t>T</t>
        </is>
      </c>
      <c r="B256" s="6" t="n">
        <v>5</v>
      </c>
      <c r="C256" s="6" t="inlineStr">
        <is>
          <t>C</t>
        </is>
      </c>
      <c r="D256" s="7" t="inlineStr">
        <is>
          <t>03</t>
        </is>
      </c>
      <c r="E256" s="7" t="n">
        <v>6</v>
      </c>
      <c r="F256" s="7">
        <f>A256&amp;B256&amp;"-"&amp;C256&amp;E256&amp;"-"&amp;D256</f>
        <v/>
      </c>
    </row>
    <row r="257">
      <c r="A257" s="6" t="inlineStr">
        <is>
          <t>T</t>
        </is>
      </c>
      <c r="B257" s="6" t="n">
        <v>5</v>
      </c>
      <c r="C257" s="6" t="inlineStr">
        <is>
          <t>C</t>
        </is>
      </c>
      <c r="D257" s="7" t="inlineStr">
        <is>
          <t>04</t>
        </is>
      </c>
      <c r="E257" s="7" t="n">
        <v>6</v>
      </c>
      <c r="F257" s="7">
        <f>A257&amp;B257&amp;"-"&amp;C257&amp;E257&amp;"-"&amp;D257</f>
        <v/>
      </c>
    </row>
    <row r="258">
      <c r="A258" s="6" t="inlineStr">
        <is>
          <t>T</t>
        </is>
      </c>
      <c r="B258" s="6" t="n">
        <v>5</v>
      </c>
      <c r="C258" s="6" t="inlineStr">
        <is>
          <t>C</t>
        </is>
      </c>
      <c r="D258" s="7" t="inlineStr">
        <is>
          <t>05</t>
        </is>
      </c>
      <c r="E258" s="7" t="n">
        <v>6</v>
      </c>
      <c r="F258" s="7">
        <f>A258&amp;B258&amp;"-"&amp;C258&amp;E258&amp;"-"&amp;D258</f>
        <v/>
      </c>
    </row>
    <row r="259">
      <c r="A259" s="6" t="inlineStr">
        <is>
          <t>T</t>
        </is>
      </c>
      <c r="B259" s="6" t="n">
        <v>5</v>
      </c>
      <c r="C259" s="6" t="inlineStr">
        <is>
          <t>C</t>
        </is>
      </c>
      <c r="D259" s="7" t="inlineStr">
        <is>
          <t>06</t>
        </is>
      </c>
      <c r="E259" s="7" t="n">
        <v>6</v>
      </c>
      <c r="F259" s="7">
        <f>A259&amp;B259&amp;"-"&amp;C259&amp;E259&amp;"-"&amp;D259</f>
        <v/>
      </c>
    </row>
    <row r="260">
      <c r="A260" s="8" t="inlineStr">
        <is>
          <t>T</t>
        </is>
      </c>
      <c r="B260" s="6" t="n">
        <v>5</v>
      </c>
      <c r="C260" s="8" t="inlineStr">
        <is>
          <t>C</t>
        </is>
      </c>
      <c r="D260" s="9" t="inlineStr">
        <is>
          <t>01</t>
        </is>
      </c>
      <c r="E260" s="9" t="inlineStr">
        <is>
          <t>M</t>
        </is>
      </c>
      <c r="F260" s="7">
        <f>A260&amp;B260&amp;"-"&amp;C260&amp;E260&amp;"-"&amp;D260</f>
        <v/>
      </c>
    </row>
    <row r="261">
      <c r="A261" s="8" t="inlineStr">
        <is>
          <t>T</t>
        </is>
      </c>
      <c r="B261" s="6" t="n">
        <v>5</v>
      </c>
      <c r="C261" s="8" t="inlineStr">
        <is>
          <t>C</t>
        </is>
      </c>
      <c r="D261" s="9" t="inlineStr">
        <is>
          <t>02</t>
        </is>
      </c>
      <c r="E261" s="9" t="inlineStr">
        <is>
          <t>M</t>
        </is>
      </c>
      <c r="F261" s="7">
        <f>A261&amp;B261&amp;"-"&amp;C261&amp;E261&amp;"-"&amp;D261</f>
        <v/>
      </c>
    </row>
    <row r="262">
      <c r="A262" s="6" t="inlineStr">
        <is>
          <t>T</t>
        </is>
      </c>
      <c r="B262" s="6" t="n">
        <v>5</v>
      </c>
      <c r="C262" s="6" t="inlineStr">
        <is>
          <t>D</t>
        </is>
      </c>
      <c r="D262" s="7" t="inlineStr">
        <is>
          <t>01</t>
        </is>
      </c>
      <c r="E262" s="7" t="n">
        <v>1</v>
      </c>
      <c r="F262" s="7">
        <f>A262&amp;B262&amp;"-"&amp;C262&amp;E262&amp;"-"&amp;D262</f>
        <v/>
      </c>
    </row>
    <row r="263">
      <c r="A263" s="6" t="inlineStr">
        <is>
          <t>T</t>
        </is>
      </c>
      <c r="B263" s="6" t="n">
        <v>5</v>
      </c>
      <c r="C263" s="6" t="inlineStr">
        <is>
          <t>D</t>
        </is>
      </c>
      <c r="D263" s="7" t="inlineStr">
        <is>
          <t>02</t>
        </is>
      </c>
      <c r="E263" s="7" t="n">
        <v>1</v>
      </c>
      <c r="F263" s="7">
        <f>A263&amp;B263&amp;"-"&amp;C263&amp;E263&amp;"-"&amp;D263</f>
        <v/>
      </c>
    </row>
    <row r="264">
      <c r="A264" s="6" t="inlineStr">
        <is>
          <t>T</t>
        </is>
      </c>
      <c r="B264" s="6" t="n">
        <v>5</v>
      </c>
      <c r="C264" s="6" t="inlineStr">
        <is>
          <t>D</t>
        </is>
      </c>
      <c r="D264" s="7" t="inlineStr">
        <is>
          <t>03</t>
        </is>
      </c>
      <c r="E264" s="7" t="n">
        <v>1</v>
      </c>
      <c r="F264" s="7">
        <f>A264&amp;B264&amp;"-"&amp;C264&amp;E264&amp;"-"&amp;D264</f>
        <v/>
      </c>
    </row>
    <row r="265">
      <c r="A265" s="6" t="inlineStr">
        <is>
          <t>T</t>
        </is>
      </c>
      <c r="B265" s="6" t="n">
        <v>5</v>
      </c>
      <c r="C265" s="6" t="inlineStr">
        <is>
          <t>D</t>
        </is>
      </c>
      <c r="D265" s="7" t="inlineStr">
        <is>
          <t>04</t>
        </is>
      </c>
      <c r="E265" s="7" t="n">
        <v>1</v>
      </c>
      <c r="F265" s="7">
        <f>A265&amp;B265&amp;"-"&amp;C265&amp;E265&amp;"-"&amp;D265</f>
        <v/>
      </c>
    </row>
    <row r="266">
      <c r="A266" s="6" t="inlineStr">
        <is>
          <t>T</t>
        </is>
      </c>
      <c r="B266" s="6" t="n">
        <v>5</v>
      </c>
      <c r="C266" s="6" t="inlineStr">
        <is>
          <t>D</t>
        </is>
      </c>
      <c r="D266" s="7" t="inlineStr">
        <is>
          <t>05</t>
        </is>
      </c>
      <c r="E266" s="7" t="n">
        <v>1</v>
      </c>
      <c r="F266" s="7">
        <f>A266&amp;B266&amp;"-"&amp;C266&amp;E266&amp;"-"&amp;D266</f>
        <v/>
      </c>
    </row>
    <row r="267">
      <c r="A267" s="6" t="inlineStr">
        <is>
          <t>T</t>
        </is>
      </c>
      <c r="B267" s="6" t="n">
        <v>5</v>
      </c>
      <c r="C267" s="6" t="inlineStr">
        <is>
          <t>D</t>
        </is>
      </c>
      <c r="D267" s="7" t="inlineStr">
        <is>
          <t>06</t>
        </is>
      </c>
      <c r="E267" s="7" t="n">
        <v>1</v>
      </c>
      <c r="F267" s="7">
        <f>A267&amp;B267&amp;"-"&amp;C267&amp;E267&amp;"-"&amp;D267</f>
        <v/>
      </c>
    </row>
    <row r="268">
      <c r="A268" s="6" t="inlineStr">
        <is>
          <t>T</t>
        </is>
      </c>
      <c r="B268" s="6" t="n">
        <v>5</v>
      </c>
      <c r="C268" s="6" t="inlineStr">
        <is>
          <t>D</t>
        </is>
      </c>
      <c r="D268" s="7" t="inlineStr">
        <is>
          <t>01</t>
        </is>
      </c>
      <c r="E268" s="7" t="n">
        <v>2</v>
      </c>
      <c r="F268" s="7">
        <f>A268&amp;B268&amp;"-"&amp;C268&amp;E268&amp;"-"&amp;D268</f>
        <v/>
      </c>
    </row>
    <row r="269">
      <c r="A269" s="6" t="inlineStr">
        <is>
          <t>T</t>
        </is>
      </c>
      <c r="B269" s="6" t="n">
        <v>5</v>
      </c>
      <c r="C269" s="6" t="inlineStr">
        <is>
          <t>D</t>
        </is>
      </c>
      <c r="D269" s="7" t="inlineStr">
        <is>
          <t>02</t>
        </is>
      </c>
      <c r="E269" s="7" t="n">
        <v>2</v>
      </c>
      <c r="F269" s="7">
        <f>A269&amp;B269&amp;"-"&amp;C269&amp;E269&amp;"-"&amp;D269</f>
        <v/>
      </c>
    </row>
    <row r="270">
      <c r="A270" s="6" t="inlineStr">
        <is>
          <t>T</t>
        </is>
      </c>
      <c r="B270" s="6" t="n">
        <v>5</v>
      </c>
      <c r="C270" s="6" t="inlineStr">
        <is>
          <t>D</t>
        </is>
      </c>
      <c r="D270" s="7" t="inlineStr">
        <is>
          <t>03</t>
        </is>
      </c>
      <c r="E270" s="7" t="n">
        <v>2</v>
      </c>
      <c r="F270" s="7">
        <f>A270&amp;B270&amp;"-"&amp;C270&amp;E270&amp;"-"&amp;D270</f>
        <v/>
      </c>
    </row>
    <row r="271">
      <c r="A271" s="6" t="inlineStr">
        <is>
          <t>T</t>
        </is>
      </c>
      <c r="B271" s="6" t="n">
        <v>5</v>
      </c>
      <c r="C271" s="6" t="inlineStr">
        <is>
          <t>D</t>
        </is>
      </c>
      <c r="D271" s="7" t="inlineStr">
        <is>
          <t>04</t>
        </is>
      </c>
      <c r="E271" s="7" t="n">
        <v>2</v>
      </c>
      <c r="F271" s="7">
        <f>A271&amp;B271&amp;"-"&amp;C271&amp;E271&amp;"-"&amp;D271</f>
        <v/>
      </c>
    </row>
    <row r="272">
      <c r="A272" s="6" t="inlineStr">
        <is>
          <t>T</t>
        </is>
      </c>
      <c r="B272" s="6" t="n">
        <v>5</v>
      </c>
      <c r="C272" s="6" t="inlineStr">
        <is>
          <t>D</t>
        </is>
      </c>
      <c r="D272" s="7" t="inlineStr">
        <is>
          <t>05</t>
        </is>
      </c>
      <c r="E272" s="7" t="n">
        <v>2</v>
      </c>
      <c r="F272" s="7">
        <f>A272&amp;B272&amp;"-"&amp;C272&amp;E272&amp;"-"&amp;D272</f>
        <v/>
      </c>
    </row>
    <row r="273">
      <c r="A273" s="6" t="inlineStr">
        <is>
          <t>T</t>
        </is>
      </c>
      <c r="B273" s="6" t="n">
        <v>5</v>
      </c>
      <c r="C273" s="6" t="inlineStr">
        <is>
          <t>D</t>
        </is>
      </c>
      <c r="D273" s="7" t="inlineStr">
        <is>
          <t>06</t>
        </is>
      </c>
      <c r="E273" s="7" t="n">
        <v>2</v>
      </c>
      <c r="F273" s="7">
        <f>A273&amp;B273&amp;"-"&amp;C273&amp;E273&amp;"-"&amp;D273</f>
        <v/>
      </c>
    </row>
    <row r="274">
      <c r="A274" s="6" t="inlineStr">
        <is>
          <t>T</t>
        </is>
      </c>
      <c r="B274" s="6" t="n">
        <v>5</v>
      </c>
      <c r="C274" s="6" t="inlineStr">
        <is>
          <t>D</t>
        </is>
      </c>
      <c r="D274" s="7" t="inlineStr">
        <is>
          <t>01</t>
        </is>
      </c>
      <c r="E274" s="7" t="n">
        <v>3</v>
      </c>
      <c r="F274" s="7">
        <f>A274&amp;B274&amp;"-"&amp;C274&amp;E274&amp;"-"&amp;D274</f>
        <v/>
      </c>
    </row>
    <row r="275">
      <c r="A275" s="6" t="inlineStr">
        <is>
          <t>T</t>
        </is>
      </c>
      <c r="B275" s="6" t="n">
        <v>5</v>
      </c>
      <c r="C275" s="6" t="inlineStr">
        <is>
          <t>D</t>
        </is>
      </c>
      <c r="D275" s="7" t="inlineStr">
        <is>
          <t>02</t>
        </is>
      </c>
      <c r="E275" s="7" t="n">
        <v>3</v>
      </c>
      <c r="F275" s="7">
        <f>A275&amp;B275&amp;"-"&amp;C275&amp;E275&amp;"-"&amp;D275</f>
        <v/>
      </c>
    </row>
    <row r="276">
      <c r="A276" s="6" t="inlineStr">
        <is>
          <t>T</t>
        </is>
      </c>
      <c r="B276" s="6" t="n">
        <v>5</v>
      </c>
      <c r="C276" s="6" t="inlineStr">
        <is>
          <t>D</t>
        </is>
      </c>
      <c r="D276" s="7" t="inlineStr">
        <is>
          <t>03</t>
        </is>
      </c>
      <c r="E276" s="7" t="n">
        <v>3</v>
      </c>
      <c r="F276" s="7">
        <f>A276&amp;B276&amp;"-"&amp;C276&amp;E276&amp;"-"&amp;D276</f>
        <v/>
      </c>
    </row>
    <row r="277">
      <c r="A277" s="6" t="inlineStr">
        <is>
          <t>T</t>
        </is>
      </c>
      <c r="B277" s="6" t="n">
        <v>5</v>
      </c>
      <c r="C277" s="6" t="inlineStr">
        <is>
          <t>D</t>
        </is>
      </c>
      <c r="D277" s="7" t="inlineStr">
        <is>
          <t>04</t>
        </is>
      </c>
      <c r="E277" s="7" t="n">
        <v>3</v>
      </c>
      <c r="F277" s="7">
        <f>A277&amp;B277&amp;"-"&amp;C277&amp;E277&amp;"-"&amp;D277</f>
        <v/>
      </c>
    </row>
    <row r="278">
      <c r="A278" s="6" t="inlineStr">
        <is>
          <t>T</t>
        </is>
      </c>
      <c r="B278" s="6" t="n">
        <v>5</v>
      </c>
      <c r="C278" s="6" t="inlineStr">
        <is>
          <t>D</t>
        </is>
      </c>
      <c r="D278" s="7" t="inlineStr">
        <is>
          <t>05</t>
        </is>
      </c>
      <c r="E278" s="7" t="n">
        <v>3</v>
      </c>
      <c r="F278" s="7">
        <f>A278&amp;B278&amp;"-"&amp;C278&amp;E278&amp;"-"&amp;D278</f>
        <v/>
      </c>
    </row>
    <row r="279">
      <c r="A279" s="6" t="inlineStr">
        <is>
          <t>T</t>
        </is>
      </c>
      <c r="B279" s="6" t="n">
        <v>5</v>
      </c>
      <c r="C279" s="6" t="inlineStr">
        <is>
          <t>D</t>
        </is>
      </c>
      <c r="D279" s="7" t="inlineStr">
        <is>
          <t>06</t>
        </is>
      </c>
      <c r="E279" s="7" t="n">
        <v>3</v>
      </c>
      <c r="F279" s="7">
        <f>A279&amp;B279&amp;"-"&amp;C279&amp;E279&amp;"-"&amp;D279</f>
        <v/>
      </c>
    </row>
    <row r="280">
      <c r="A280" s="6" t="inlineStr">
        <is>
          <t>T</t>
        </is>
      </c>
      <c r="B280" s="6" t="n">
        <v>5</v>
      </c>
      <c r="C280" s="6" t="inlineStr">
        <is>
          <t>D</t>
        </is>
      </c>
      <c r="D280" s="7" t="inlineStr">
        <is>
          <t>01</t>
        </is>
      </c>
      <c r="E280" s="7" t="n">
        <v>4</v>
      </c>
      <c r="F280" s="7">
        <f>A280&amp;B280&amp;"-"&amp;C280&amp;E280&amp;"-"&amp;D280</f>
        <v/>
      </c>
    </row>
    <row r="281">
      <c r="A281" s="6" t="inlineStr">
        <is>
          <t>T</t>
        </is>
      </c>
      <c r="B281" s="6" t="n">
        <v>5</v>
      </c>
      <c r="C281" s="6" t="inlineStr">
        <is>
          <t>D</t>
        </is>
      </c>
      <c r="D281" s="7" t="inlineStr">
        <is>
          <t>02</t>
        </is>
      </c>
      <c r="E281" s="7" t="n">
        <v>4</v>
      </c>
      <c r="F281" s="7">
        <f>A281&amp;B281&amp;"-"&amp;C281&amp;E281&amp;"-"&amp;D281</f>
        <v/>
      </c>
    </row>
    <row r="282">
      <c r="A282" s="6" t="inlineStr">
        <is>
          <t>T</t>
        </is>
      </c>
      <c r="B282" s="6" t="n">
        <v>5</v>
      </c>
      <c r="C282" s="6" t="inlineStr">
        <is>
          <t>D</t>
        </is>
      </c>
      <c r="D282" s="7" t="inlineStr">
        <is>
          <t>03</t>
        </is>
      </c>
      <c r="E282" s="7" t="n">
        <v>4</v>
      </c>
      <c r="F282" s="7">
        <f>A282&amp;B282&amp;"-"&amp;C282&amp;E282&amp;"-"&amp;D282</f>
        <v/>
      </c>
    </row>
    <row r="283">
      <c r="A283" s="6" t="inlineStr">
        <is>
          <t>T</t>
        </is>
      </c>
      <c r="B283" s="6" t="n">
        <v>5</v>
      </c>
      <c r="C283" s="6" t="inlineStr">
        <is>
          <t>D</t>
        </is>
      </c>
      <c r="D283" s="7" t="inlineStr">
        <is>
          <t>04</t>
        </is>
      </c>
      <c r="E283" s="7" t="n">
        <v>4</v>
      </c>
      <c r="F283" s="7">
        <f>A283&amp;B283&amp;"-"&amp;C283&amp;E283&amp;"-"&amp;D283</f>
        <v/>
      </c>
    </row>
    <row r="284">
      <c r="A284" s="6" t="inlineStr">
        <is>
          <t>T</t>
        </is>
      </c>
      <c r="B284" s="6" t="n">
        <v>5</v>
      </c>
      <c r="C284" s="6" t="inlineStr">
        <is>
          <t>D</t>
        </is>
      </c>
      <c r="D284" s="7" t="inlineStr">
        <is>
          <t>05</t>
        </is>
      </c>
      <c r="E284" s="7" t="n">
        <v>4</v>
      </c>
      <c r="F284" s="7">
        <f>A284&amp;B284&amp;"-"&amp;C284&amp;E284&amp;"-"&amp;D284</f>
        <v/>
      </c>
    </row>
    <row r="285">
      <c r="A285" s="6" t="inlineStr">
        <is>
          <t>T</t>
        </is>
      </c>
      <c r="B285" s="6" t="n">
        <v>5</v>
      </c>
      <c r="C285" s="6" t="inlineStr">
        <is>
          <t>D</t>
        </is>
      </c>
      <c r="D285" s="7" t="inlineStr">
        <is>
          <t>06</t>
        </is>
      </c>
      <c r="E285" s="7" t="n">
        <v>4</v>
      </c>
      <c r="F285" s="7">
        <f>A285&amp;B285&amp;"-"&amp;C285&amp;E285&amp;"-"&amp;D285</f>
        <v/>
      </c>
    </row>
    <row r="286">
      <c r="A286" s="6" t="inlineStr">
        <is>
          <t>T</t>
        </is>
      </c>
      <c r="B286" s="6" t="n">
        <v>6</v>
      </c>
      <c r="C286" s="7" t="inlineStr">
        <is>
          <t>A</t>
        </is>
      </c>
      <c r="D286" s="7" t="inlineStr">
        <is>
          <t>01</t>
        </is>
      </c>
      <c r="E286" s="7" t="n">
        <v>1</v>
      </c>
      <c r="F286" s="7">
        <f>A286&amp;B286&amp;"-"&amp;C286&amp;E286&amp;"-"&amp;D286</f>
        <v/>
      </c>
    </row>
    <row r="287">
      <c r="A287" s="6" t="inlineStr">
        <is>
          <t>T</t>
        </is>
      </c>
      <c r="B287" s="6" t="n">
        <v>6</v>
      </c>
      <c r="C287" s="7" t="inlineStr">
        <is>
          <t>A</t>
        </is>
      </c>
      <c r="D287" s="7" t="inlineStr">
        <is>
          <t>02</t>
        </is>
      </c>
      <c r="E287" s="7" t="n">
        <v>1</v>
      </c>
      <c r="F287" s="7">
        <f>A287&amp;B287&amp;"-"&amp;C287&amp;E287&amp;"-"&amp;D287</f>
        <v/>
      </c>
    </row>
    <row r="288">
      <c r="A288" s="6" t="inlineStr">
        <is>
          <t>T</t>
        </is>
      </c>
      <c r="B288" s="6" t="n">
        <v>6</v>
      </c>
      <c r="C288" s="7" t="inlineStr">
        <is>
          <t>A</t>
        </is>
      </c>
      <c r="D288" s="7" t="inlineStr">
        <is>
          <t>03</t>
        </is>
      </c>
      <c r="E288" s="7" t="n">
        <v>1</v>
      </c>
      <c r="F288" s="7">
        <f>A288&amp;B288&amp;"-"&amp;C288&amp;E288&amp;"-"&amp;D288</f>
        <v/>
      </c>
    </row>
    <row r="289">
      <c r="A289" s="6" t="inlineStr">
        <is>
          <t>T</t>
        </is>
      </c>
      <c r="B289" s="6" t="n">
        <v>6</v>
      </c>
      <c r="C289" s="7" t="inlineStr">
        <is>
          <t>A</t>
        </is>
      </c>
      <c r="D289" s="7" t="inlineStr">
        <is>
          <t>04</t>
        </is>
      </c>
      <c r="E289" s="7" t="n">
        <v>1</v>
      </c>
      <c r="F289" s="7">
        <f>A289&amp;B289&amp;"-"&amp;C289&amp;E289&amp;"-"&amp;D289</f>
        <v/>
      </c>
    </row>
    <row r="290">
      <c r="A290" s="6" t="inlineStr">
        <is>
          <t>T</t>
        </is>
      </c>
      <c r="B290" s="6" t="n">
        <v>6</v>
      </c>
      <c r="C290" s="7" t="inlineStr">
        <is>
          <t>A</t>
        </is>
      </c>
      <c r="D290" s="7" t="inlineStr">
        <is>
          <t>05</t>
        </is>
      </c>
      <c r="E290" s="7" t="n">
        <v>1</v>
      </c>
      <c r="F290" s="7">
        <f>A290&amp;B290&amp;"-"&amp;C290&amp;E290&amp;"-"&amp;D290</f>
        <v/>
      </c>
    </row>
    <row r="291">
      <c r="A291" s="6" t="inlineStr">
        <is>
          <t>T</t>
        </is>
      </c>
      <c r="B291" s="6" t="n">
        <v>6</v>
      </c>
      <c r="C291" s="7" t="inlineStr">
        <is>
          <t>A</t>
        </is>
      </c>
      <c r="D291" s="7" t="inlineStr">
        <is>
          <t>06</t>
        </is>
      </c>
      <c r="E291" s="7" t="n">
        <v>1</v>
      </c>
      <c r="F291" s="7">
        <f>A291&amp;B291&amp;"-"&amp;C291&amp;E291&amp;"-"&amp;D291</f>
        <v/>
      </c>
    </row>
    <row r="292">
      <c r="A292" s="6" t="inlineStr">
        <is>
          <t>T</t>
        </is>
      </c>
      <c r="B292" s="6" t="n">
        <v>6</v>
      </c>
      <c r="C292" s="7" t="inlineStr">
        <is>
          <t>A</t>
        </is>
      </c>
      <c r="D292" s="7" t="inlineStr">
        <is>
          <t>07</t>
        </is>
      </c>
      <c r="E292" s="7" t="n">
        <v>1</v>
      </c>
      <c r="F292" s="7">
        <f>A292&amp;B292&amp;"-"&amp;C292&amp;E292&amp;"-"&amp;D292</f>
        <v/>
      </c>
    </row>
    <row r="293">
      <c r="A293" s="6" t="inlineStr">
        <is>
          <t>T</t>
        </is>
      </c>
      <c r="B293" s="6" t="n">
        <v>6</v>
      </c>
      <c r="C293" s="7" t="inlineStr">
        <is>
          <t>A</t>
        </is>
      </c>
      <c r="D293" s="7" t="inlineStr">
        <is>
          <t>08</t>
        </is>
      </c>
      <c r="E293" s="7" t="n">
        <v>1</v>
      </c>
      <c r="F293" s="7">
        <f>A293&amp;B293&amp;"-"&amp;C293&amp;E293&amp;"-"&amp;D293</f>
        <v/>
      </c>
    </row>
    <row r="294">
      <c r="A294" s="6" t="inlineStr">
        <is>
          <t>T</t>
        </is>
      </c>
      <c r="B294" s="6" t="n">
        <v>6</v>
      </c>
      <c r="C294" s="7" t="inlineStr">
        <is>
          <t>A</t>
        </is>
      </c>
      <c r="D294" s="7" t="inlineStr">
        <is>
          <t>01</t>
        </is>
      </c>
      <c r="E294" s="7" t="n">
        <v>2</v>
      </c>
      <c r="F294" s="7">
        <f>A294&amp;B294&amp;"-"&amp;C294&amp;E294&amp;"-"&amp;D294</f>
        <v/>
      </c>
    </row>
    <row r="295">
      <c r="A295" s="6" t="inlineStr">
        <is>
          <t>T</t>
        </is>
      </c>
      <c r="B295" s="6" t="n">
        <v>6</v>
      </c>
      <c r="C295" s="7" t="inlineStr">
        <is>
          <t>A</t>
        </is>
      </c>
      <c r="D295" s="7" t="inlineStr">
        <is>
          <t>02</t>
        </is>
      </c>
      <c r="E295" s="7" t="n">
        <v>2</v>
      </c>
      <c r="F295" s="7">
        <f>A295&amp;B295&amp;"-"&amp;C295&amp;E295&amp;"-"&amp;D295</f>
        <v/>
      </c>
    </row>
    <row r="296">
      <c r="A296" s="6" t="inlineStr">
        <is>
          <t>T</t>
        </is>
      </c>
      <c r="B296" s="6" t="n">
        <v>6</v>
      </c>
      <c r="C296" s="7" t="inlineStr">
        <is>
          <t>A</t>
        </is>
      </c>
      <c r="D296" s="7" t="inlineStr">
        <is>
          <t>03</t>
        </is>
      </c>
      <c r="E296" s="7" t="n">
        <v>2</v>
      </c>
      <c r="F296" s="7">
        <f>A296&amp;B296&amp;"-"&amp;C296&amp;E296&amp;"-"&amp;D296</f>
        <v/>
      </c>
    </row>
    <row r="297">
      <c r="A297" s="6" t="inlineStr">
        <is>
          <t>T</t>
        </is>
      </c>
      <c r="B297" s="6" t="n">
        <v>6</v>
      </c>
      <c r="C297" s="7" t="inlineStr">
        <is>
          <t>A</t>
        </is>
      </c>
      <c r="D297" s="7" t="inlineStr">
        <is>
          <t>04</t>
        </is>
      </c>
      <c r="E297" s="7" t="n">
        <v>2</v>
      </c>
      <c r="F297" s="7">
        <f>A297&amp;B297&amp;"-"&amp;C297&amp;E297&amp;"-"&amp;D297</f>
        <v/>
      </c>
    </row>
    <row r="298">
      <c r="A298" s="6" t="inlineStr">
        <is>
          <t>T</t>
        </is>
      </c>
      <c r="B298" s="6" t="n">
        <v>6</v>
      </c>
      <c r="C298" s="7" t="inlineStr">
        <is>
          <t>A</t>
        </is>
      </c>
      <c r="D298" s="7" t="inlineStr">
        <is>
          <t>05</t>
        </is>
      </c>
      <c r="E298" s="7" t="n">
        <v>2</v>
      </c>
      <c r="F298" s="7">
        <f>A298&amp;B298&amp;"-"&amp;C298&amp;E298&amp;"-"&amp;D298</f>
        <v/>
      </c>
    </row>
    <row r="299">
      <c r="A299" s="6" t="inlineStr">
        <is>
          <t>T</t>
        </is>
      </c>
      <c r="B299" s="6" t="n">
        <v>6</v>
      </c>
      <c r="C299" s="7" t="inlineStr">
        <is>
          <t>A</t>
        </is>
      </c>
      <c r="D299" s="7" t="inlineStr">
        <is>
          <t>06</t>
        </is>
      </c>
      <c r="E299" s="7" t="n">
        <v>2</v>
      </c>
      <c r="F299" s="7">
        <f>A299&amp;B299&amp;"-"&amp;C299&amp;E299&amp;"-"&amp;D299</f>
        <v/>
      </c>
    </row>
    <row r="300">
      <c r="A300" s="6" t="inlineStr">
        <is>
          <t>T</t>
        </is>
      </c>
      <c r="B300" s="6" t="n">
        <v>6</v>
      </c>
      <c r="C300" s="7" t="inlineStr">
        <is>
          <t>A</t>
        </is>
      </c>
      <c r="D300" s="7" t="inlineStr">
        <is>
          <t>07</t>
        </is>
      </c>
      <c r="E300" s="7" t="n">
        <v>2</v>
      </c>
      <c r="F300" s="7">
        <f>A300&amp;B300&amp;"-"&amp;C300&amp;E300&amp;"-"&amp;D300</f>
        <v/>
      </c>
    </row>
    <row r="301">
      <c r="A301" s="6" t="inlineStr">
        <is>
          <t>T</t>
        </is>
      </c>
      <c r="B301" s="6" t="n">
        <v>6</v>
      </c>
      <c r="C301" s="7" t="inlineStr">
        <is>
          <t>A</t>
        </is>
      </c>
      <c r="D301" s="7" t="inlineStr">
        <is>
          <t>08</t>
        </is>
      </c>
      <c r="E301" s="7" t="n">
        <v>2</v>
      </c>
      <c r="F301" s="7">
        <f>A301&amp;B301&amp;"-"&amp;C301&amp;E301&amp;"-"&amp;D301</f>
        <v/>
      </c>
    </row>
    <row r="302">
      <c r="A302" s="6" t="inlineStr">
        <is>
          <t>T</t>
        </is>
      </c>
      <c r="B302" s="6" t="n">
        <v>6</v>
      </c>
      <c r="C302" s="7" t="inlineStr">
        <is>
          <t>A</t>
        </is>
      </c>
      <c r="D302" s="7" t="inlineStr">
        <is>
          <t>01</t>
        </is>
      </c>
      <c r="E302" s="7" t="n">
        <v>3</v>
      </c>
      <c r="F302" s="7">
        <f>A302&amp;B302&amp;"-"&amp;C302&amp;E302&amp;"-"&amp;D302</f>
        <v/>
      </c>
    </row>
    <row r="303">
      <c r="A303" s="6" t="inlineStr">
        <is>
          <t>T</t>
        </is>
      </c>
      <c r="B303" s="6" t="n">
        <v>6</v>
      </c>
      <c r="C303" s="7" t="inlineStr">
        <is>
          <t>A</t>
        </is>
      </c>
      <c r="D303" s="7" t="inlineStr">
        <is>
          <t>02</t>
        </is>
      </c>
      <c r="E303" s="7" t="n">
        <v>3</v>
      </c>
      <c r="F303" s="7">
        <f>A303&amp;B303&amp;"-"&amp;C303&amp;E303&amp;"-"&amp;D303</f>
        <v/>
      </c>
    </row>
    <row r="304">
      <c r="A304" s="6" t="inlineStr">
        <is>
          <t>T</t>
        </is>
      </c>
      <c r="B304" s="6" t="n">
        <v>6</v>
      </c>
      <c r="C304" s="7" t="inlineStr">
        <is>
          <t>A</t>
        </is>
      </c>
      <c r="D304" s="7" t="inlineStr">
        <is>
          <t>03</t>
        </is>
      </c>
      <c r="E304" s="7" t="n">
        <v>3</v>
      </c>
      <c r="F304" s="7">
        <f>A304&amp;B304&amp;"-"&amp;C304&amp;E304&amp;"-"&amp;D304</f>
        <v/>
      </c>
    </row>
    <row r="305">
      <c r="A305" s="6" t="inlineStr">
        <is>
          <t>T</t>
        </is>
      </c>
      <c r="B305" s="6" t="n">
        <v>6</v>
      </c>
      <c r="C305" s="7" t="inlineStr">
        <is>
          <t>A</t>
        </is>
      </c>
      <c r="D305" s="7" t="inlineStr">
        <is>
          <t>04</t>
        </is>
      </c>
      <c r="E305" s="7" t="n">
        <v>3</v>
      </c>
      <c r="F305" s="7">
        <f>A305&amp;B305&amp;"-"&amp;C305&amp;E305&amp;"-"&amp;D305</f>
        <v/>
      </c>
    </row>
    <row r="306">
      <c r="A306" s="6" t="inlineStr">
        <is>
          <t>T</t>
        </is>
      </c>
      <c r="B306" s="6" t="n">
        <v>6</v>
      </c>
      <c r="C306" s="7" t="inlineStr">
        <is>
          <t>A</t>
        </is>
      </c>
      <c r="D306" s="7" t="inlineStr">
        <is>
          <t>05</t>
        </is>
      </c>
      <c r="E306" s="7" t="n">
        <v>3</v>
      </c>
      <c r="F306" s="7">
        <f>A306&amp;B306&amp;"-"&amp;C306&amp;E306&amp;"-"&amp;D306</f>
        <v/>
      </c>
    </row>
    <row r="307">
      <c r="A307" s="6" t="inlineStr">
        <is>
          <t>T</t>
        </is>
      </c>
      <c r="B307" s="6" t="n">
        <v>6</v>
      </c>
      <c r="C307" s="7" t="inlineStr">
        <is>
          <t>A</t>
        </is>
      </c>
      <c r="D307" s="7" t="inlineStr">
        <is>
          <t>06</t>
        </is>
      </c>
      <c r="E307" s="7" t="n">
        <v>3</v>
      </c>
      <c r="F307" s="7">
        <f>A307&amp;B307&amp;"-"&amp;C307&amp;E307&amp;"-"&amp;D307</f>
        <v/>
      </c>
    </row>
    <row r="308">
      <c r="A308" s="6" t="inlineStr">
        <is>
          <t>T</t>
        </is>
      </c>
      <c r="B308" s="6" t="n">
        <v>6</v>
      </c>
      <c r="C308" s="7" t="inlineStr">
        <is>
          <t>A</t>
        </is>
      </c>
      <c r="D308" s="7" t="inlineStr">
        <is>
          <t>07</t>
        </is>
      </c>
      <c r="E308" s="7" t="n">
        <v>3</v>
      </c>
      <c r="F308" s="7">
        <f>A308&amp;B308&amp;"-"&amp;C308&amp;E308&amp;"-"&amp;D308</f>
        <v/>
      </c>
    </row>
    <row r="309">
      <c r="A309" s="6" t="inlineStr">
        <is>
          <t>T</t>
        </is>
      </c>
      <c r="B309" s="6" t="n">
        <v>6</v>
      </c>
      <c r="C309" s="7" t="inlineStr">
        <is>
          <t>A</t>
        </is>
      </c>
      <c r="D309" s="7" t="inlineStr">
        <is>
          <t>08</t>
        </is>
      </c>
      <c r="E309" s="7" t="n">
        <v>3</v>
      </c>
      <c r="F309" s="7">
        <f>A309&amp;B309&amp;"-"&amp;C309&amp;E309&amp;"-"&amp;D309</f>
        <v/>
      </c>
    </row>
    <row r="310">
      <c r="A310" s="8" t="inlineStr">
        <is>
          <t>T</t>
        </is>
      </c>
      <c r="B310" s="8" t="n">
        <v>6</v>
      </c>
      <c r="C310" s="9" t="inlineStr">
        <is>
          <t>A</t>
        </is>
      </c>
      <c r="D310" s="9" t="inlineStr">
        <is>
          <t>03</t>
        </is>
      </c>
      <c r="E310" s="9" t="inlineStr">
        <is>
          <t>M</t>
        </is>
      </c>
      <c r="F310" s="9">
        <f>A310&amp;B310&amp;"-"&amp;C310&amp;E310&amp;"-"&amp;D310</f>
        <v/>
      </c>
    </row>
    <row r="311">
      <c r="A311" s="6" t="inlineStr">
        <is>
          <t>T</t>
        </is>
      </c>
      <c r="B311" s="6" t="n">
        <v>6</v>
      </c>
      <c r="C311" s="7" t="inlineStr">
        <is>
          <t>A</t>
        </is>
      </c>
      <c r="D311" s="12" t="inlineStr">
        <is>
          <t>01</t>
        </is>
      </c>
      <c r="E311" s="7" t="n">
        <v>4</v>
      </c>
      <c r="F311" s="7">
        <f>A311&amp;B311&amp;"-"&amp;C311&amp;E311&amp;"-"&amp;D311</f>
        <v/>
      </c>
    </row>
    <row r="312">
      <c r="A312" s="6" t="inlineStr">
        <is>
          <t>T</t>
        </is>
      </c>
      <c r="B312" s="6" t="n">
        <v>6</v>
      </c>
      <c r="C312" s="7" t="inlineStr">
        <is>
          <t>A</t>
        </is>
      </c>
      <c r="D312" s="12" t="inlineStr">
        <is>
          <t>02</t>
        </is>
      </c>
      <c r="E312" s="7" t="n">
        <v>4</v>
      </c>
      <c r="F312" s="7">
        <f>A312&amp;B312&amp;"-"&amp;C312&amp;E312&amp;"-"&amp;D312</f>
        <v/>
      </c>
    </row>
    <row r="313">
      <c r="A313" s="6" t="inlineStr">
        <is>
          <t>T</t>
        </is>
      </c>
      <c r="B313" s="6" t="n">
        <v>6</v>
      </c>
      <c r="C313" s="7" t="inlineStr">
        <is>
          <t>A</t>
        </is>
      </c>
      <c r="D313" s="12" t="inlineStr">
        <is>
          <t>03</t>
        </is>
      </c>
      <c r="E313" s="7" t="n">
        <v>4</v>
      </c>
      <c r="F313" s="7">
        <f>A313&amp;B313&amp;"-"&amp;C313&amp;E313&amp;"-"&amp;D313</f>
        <v/>
      </c>
    </row>
    <row r="314">
      <c r="A314" s="6" t="inlineStr">
        <is>
          <t>T</t>
        </is>
      </c>
      <c r="B314" s="6" t="n">
        <v>6</v>
      </c>
      <c r="C314" s="7" t="inlineStr">
        <is>
          <t>A</t>
        </is>
      </c>
      <c r="D314" s="12" t="inlineStr">
        <is>
          <t>04</t>
        </is>
      </c>
      <c r="E314" s="7" t="n">
        <v>4</v>
      </c>
      <c r="F314" s="7">
        <f>A314&amp;B314&amp;"-"&amp;C314&amp;E314&amp;"-"&amp;D314</f>
        <v/>
      </c>
    </row>
    <row r="315">
      <c r="A315" s="6" t="inlineStr">
        <is>
          <t>T</t>
        </is>
      </c>
      <c r="B315" s="6" t="n">
        <v>6</v>
      </c>
      <c r="C315" s="6" t="inlineStr">
        <is>
          <t>B</t>
        </is>
      </c>
      <c r="D315" s="7" t="inlineStr">
        <is>
          <t>01</t>
        </is>
      </c>
      <c r="E315" s="7" t="n">
        <v>1</v>
      </c>
      <c r="F315" s="7">
        <f>A315&amp;B315&amp;"-"&amp;C315&amp;E315&amp;"-"&amp;D315</f>
        <v/>
      </c>
    </row>
    <row r="316">
      <c r="A316" s="6" t="inlineStr">
        <is>
          <t>T</t>
        </is>
      </c>
      <c r="B316" s="6" t="n">
        <v>6</v>
      </c>
      <c r="C316" s="6" t="inlineStr">
        <is>
          <t>B</t>
        </is>
      </c>
      <c r="D316" s="7" t="inlineStr">
        <is>
          <t>02</t>
        </is>
      </c>
      <c r="E316" s="7" t="n">
        <v>1</v>
      </c>
      <c r="F316" s="7">
        <f>A316&amp;B316&amp;"-"&amp;C316&amp;E316&amp;"-"&amp;D316</f>
        <v/>
      </c>
    </row>
    <row r="317">
      <c r="A317" s="6" t="inlineStr">
        <is>
          <t>T</t>
        </is>
      </c>
      <c r="B317" s="6" t="n">
        <v>6</v>
      </c>
      <c r="C317" s="6" t="inlineStr">
        <is>
          <t>B</t>
        </is>
      </c>
      <c r="D317" s="7" t="inlineStr">
        <is>
          <t>03</t>
        </is>
      </c>
      <c r="E317" s="7" t="n">
        <v>1</v>
      </c>
      <c r="F317" s="7">
        <f>A317&amp;B317&amp;"-"&amp;C317&amp;E317&amp;"-"&amp;D317</f>
        <v/>
      </c>
    </row>
    <row r="318">
      <c r="A318" s="6" t="inlineStr">
        <is>
          <t>T</t>
        </is>
      </c>
      <c r="B318" s="6" t="n">
        <v>6</v>
      </c>
      <c r="C318" s="6" t="inlineStr">
        <is>
          <t>B</t>
        </is>
      </c>
      <c r="D318" s="7" t="inlineStr">
        <is>
          <t>04</t>
        </is>
      </c>
      <c r="E318" s="7" t="n">
        <v>1</v>
      </c>
      <c r="F318" s="7">
        <f>A318&amp;B318&amp;"-"&amp;C318&amp;E318&amp;"-"&amp;D318</f>
        <v/>
      </c>
    </row>
    <row r="319">
      <c r="A319" s="6" t="inlineStr">
        <is>
          <t>T</t>
        </is>
      </c>
      <c r="B319" s="6" t="n">
        <v>6</v>
      </c>
      <c r="C319" s="6" t="inlineStr">
        <is>
          <t>B</t>
        </is>
      </c>
      <c r="D319" s="7" t="inlineStr">
        <is>
          <t>05</t>
        </is>
      </c>
      <c r="E319" s="7" t="n">
        <v>1</v>
      </c>
      <c r="F319" s="7">
        <f>A319&amp;B319&amp;"-"&amp;C319&amp;E319&amp;"-"&amp;D319</f>
        <v/>
      </c>
    </row>
    <row r="320">
      <c r="A320" s="6" t="inlineStr">
        <is>
          <t>T</t>
        </is>
      </c>
      <c r="B320" s="6" t="n">
        <v>6</v>
      </c>
      <c r="C320" s="6" t="inlineStr">
        <is>
          <t>B</t>
        </is>
      </c>
      <c r="D320" s="7" t="inlineStr">
        <is>
          <t>01</t>
        </is>
      </c>
      <c r="E320" s="7" t="n">
        <v>2</v>
      </c>
      <c r="F320" s="7">
        <f>A320&amp;B320&amp;"-"&amp;C320&amp;E320&amp;"-"&amp;D320</f>
        <v/>
      </c>
    </row>
    <row r="321">
      <c r="A321" s="6" t="inlineStr">
        <is>
          <t>T</t>
        </is>
      </c>
      <c r="B321" s="6" t="n">
        <v>6</v>
      </c>
      <c r="C321" s="6" t="inlineStr">
        <is>
          <t>B</t>
        </is>
      </c>
      <c r="D321" s="7" t="inlineStr">
        <is>
          <t>02</t>
        </is>
      </c>
      <c r="E321" s="7" t="n">
        <v>2</v>
      </c>
      <c r="F321" s="7">
        <f>A321&amp;B321&amp;"-"&amp;C321&amp;E321&amp;"-"&amp;D321</f>
        <v/>
      </c>
    </row>
    <row r="322">
      <c r="A322" s="6" t="inlineStr">
        <is>
          <t>T</t>
        </is>
      </c>
      <c r="B322" s="6" t="n">
        <v>6</v>
      </c>
      <c r="C322" s="6" t="inlineStr">
        <is>
          <t>B</t>
        </is>
      </c>
      <c r="D322" s="7" t="inlineStr">
        <is>
          <t>03</t>
        </is>
      </c>
      <c r="E322" s="7" t="n">
        <v>2</v>
      </c>
      <c r="F322" s="7">
        <f>A322&amp;B322&amp;"-"&amp;C322&amp;E322&amp;"-"&amp;D322</f>
        <v/>
      </c>
    </row>
    <row r="323">
      <c r="A323" s="6" t="inlineStr">
        <is>
          <t>T</t>
        </is>
      </c>
      <c r="B323" s="6" t="n">
        <v>6</v>
      </c>
      <c r="C323" s="6" t="inlineStr">
        <is>
          <t>B</t>
        </is>
      </c>
      <c r="D323" s="7" t="inlineStr">
        <is>
          <t>04</t>
        </is>
      </c>
      <c r="E323" s="7" t="n">
        <v>2</v>
      </c>
      <c r="F323" s="7">
        <f>A323&amp;B323&amp;"-"&amp;C323&amp;E323&amp;"-"&amp;D323</f>
        <v/>
      </c>
    </row>
    <row r="324">
      <c r="A324" s="6" t="inlineStr">
        <is>
          <t>T</t>
        </is>
      </c>
      <c r="B324" s="6" t="n">
        <v>6</v>
      </c>
      <c r="C324" s="6" t="inlineStr">
        <is>
          <t>B</t>
        </is>
      </c>
      <c r="D324" s="7" t="inlineStr">
        <is>
          <t>05</t>
        </is>
      </c>
      <c r="E324" s="7" t="n">
        <v>2</v>
      </c>
      <c r="F324" s="7">
        <f>A324&amp;B324&amp;"-"&amp;C324&amp;E324&amp;"-"&amp;D324</f>
        <v/>
      </c>
    </row>
    <row r="325">
      <c r="A325" s="6" t="inlineStr">
        <is>
          <t>T</t>
        </is>
      </c>
      <c r="B325" s="6" t="n">
        <v>6</v>
      </c>
      <c r="C325" s="6" t="inlineStr">
        <is>
          <t>B</t>
        </is>
      </c>
      <c r="D325" s="7" t="inlineStr">
        <is>
          <t>06</t>
        </is>
      </c>
      <c r="E325" s="7" t="n">
        <v>2</v>
      </c>
      <c r="F325" s="7">
        <f>A325&amp;B325&amp;"-"&amp;C325&amp;E325&amp;"-"&amp;D325</f>
        <v/>
      </c>
    </row>
    <row r="326">
      <c r="A326" s="6" t="inlineStr">
        <is>
          <t>T</t>
        </is>
      </c>
      <c r="B326" s="6" t="n">
        <v>6</v>
      </c>
      <c r="C326" s="6" t="inlineStr">
        <is>
          <t>C</t>
        </is>
      </c>
      <c r="D326" s="7" t="inlineStr">
        <is>
          <t>01</t>
        </is>
      </c>
      <c r="E326" s="7" t="n">
        <v>1</v>
      </c>
      <c r="F326" s="7">
        <f>A326&amp;B326&amp;"-"&amp;C326&amp;E326&amp;"-"&amp;D326</f>
        <v/>
      </c>
    </row>
    <row r="327">
      <c r="A327" s="6" t="inlineStr">
        <is>
          <t>T</t>
        </is>
      </c>
      <c r="B327" s="6" t="n">
        <v>6</v>
      </c>
      <c r="C327" s="6" t="inlineStr">
        <is>
          <t>C</t>
        </is>
      </c>
      <c r="D327" s="7" t="inlineStr">
        <is>
          <t>02</t>
        </is>
      </c>
      <c r="E327" s="7" t="n">
        <v>1</v>
      </c>
      <c r="F327" s="7">
        <f>A327&amp;B327&amp;"-"&amp;C327&amp;E327&amp;"-"&amp;D327</f>
        <v/>
      </c>
    </row>
    <row r="328">
      <c r="A328" s="6" t="inlineStr">
        <is>
          <t>T</t>
        </is>
      </c>
      <c r="B328" s="6" t="n">
        <v>6</v>
      </c>
      <c r="C328" s="6" t="inlineStr">
        <is>
          <t>C</t>
        </is>
      </c>
      <c r="D328" s="7" t="inlineStr">
        <is>
          <t>03</t>
        </is>
      </c>
      <c r="E328" s="7" t="n">
        <v>1</v>
      </c>
      <c r="F328" s="7">
        <f>A328&amp;B328&amp;"-"&amp;C328&amp;E328&amp;"-"&amp;D328</f>
        <v/>
      </c>
    </row>
    <row r="329">
      <c r="A329" s="6" t="inlineStr">
        <is>
          <t>T</t>
        </is>
      </c>
      <c r="B329" s="6" t="n">
        <v>6</v>
      </c>
      <c r="C329" s="6" t="inlineStr">
        <is>
          <t>C</t>
        </is>
      </c>
      <c r="D329" s="7" t="inlineStr">
        <is>
          <t>04</t>
        </is>
      </c>
      <c r="E329" s="7" t="n">
        <v>1</v>
      </c>
      <c r="F329" s="7">
        <f>A329&amp;B329&amp;"-"&amp;C329&amp;E329&amp;"-"&amp;D329</f>
        <v/>
      </c>
    </row>
    <row r="330">
      <c r="A330" s="6" t="inlineStr">
        <is>
          <t>T</t>
        </is>
      </c>
      <c r="B330" s="6" t="n">
        <v>6</v>
      </c>
      <c r="C330" s="6" t="inlineStr">
        <is>
          <t>C</t>
        </is>
      </c>
      <c r="D330" s="7" t="inlineStr">
        <is>
          <t>05</t>
        </is>
      </c>
      <c r="E330" s="7" t="n">
        <v>1</v>
      </c>
      <c r="F330" s="7">
        <f>A330&amp;B330&amp;"-"&amp;C330&amp;E330&amp;"-"&amp;D330</f>
        <v/>
      </c>
    </row>
    <row r="331">
      <c r="A331" s="6" t="inlineStr">
        <is>
          <t>T</t>
        </is>
      </c>
      <c r="B331" s="6" t="n">
        <v>6</v>
      </c>
      <c r="C331" s="6" t="inlineStr">
        <is>
          <t>C</t>
        </is>
      </c>
      <c r="D331" s="7" t="inlineStr">
        <is>
          <t>06</t>
        </is>
      </c>
      <c r="E331" s="7" t="n">
        <v>1</v>
      </c>
      <c r="F331" s="7">
        <f>A331&amp;B331&amp;"-"&amp;C331&amp;E331&amp;"-"&amp;D331</f>
        <v/>
      </c>
    </row>
    <row r="332">
      <c r="A332" s="6" t="inlineStr">
        <is>
          <t>T</t>
        </is>
      </c>
      <c r="B332" s="6" t="n">
        <v>6</v>
      </c>
      <c r="C332" s="6" t="inlineStr">
        <is>
          <t>C</t>
        </is>
      </c>
      <c r="D332" s="7" t="inlineStr">
        <is>
          <t>01</t>
        </is>
      </c>
      <c r="E332" s="7" t="n">
        <v>2</v>
      </c>
      <c r="F332" s="7">
        <f>A332&amp;B332&amp;"-"&amp;C332&amp;E332&amp;"-"&amp;D332</f>
        <v/>
      </c>
    </row>
    <row r="333">
      <c r="A333" s="6" t="inlineStr">
        <is>
          <t>T</t>
        </is>
      </c>
      <c r="B333" s="6" t="n">
        <v>6</v>
      </c>
      <c r="C333" s="6" t="inlineStr">
        <is>
          <t>C</t>
        </is>
      </c>
      <c r="D333" s="7" t="inlineStr">
        <is>
          <t>02</t>
        </is>
      </c>
      <c r="E333" s="7" t="n">
        <v>2</v>
      </c>
      <c r="F333" s="7">
        <f>A333&amp;B333&amp;"-"&amp;C333&amp;E333&amp;"-"&amp;D333</f>
        <v/>
      </c>
    </row>
    <row r="334">
      <c r="A334" s="6" t="inlineStr">
        <is>
          <t>T</t>
        </is>
      </c>
      <c r="B334" s="6" t="n">
        <v>6</v>
      </c>
      <c r="C334" s="6" t="inlineStr">
        <is>
          <t>C</t>
        </is>
      </c>
      <c r="D334" s="7" t="inlineStr">
        <is>
          <t>03</t>
        </is>
      </c>
      <c r="E334" s="7" t="n">
        <v>2</v>
      </c>
      <c r="F334" s="7">
        <f>A334&amp;B334&amp;"-"&amp;C334&amp;E334&amp;"-"&amp;D334</f>
        <v/>
      </c>
    </row>
    <row r="335">
      <c r="A335" s="6" t="inlineStr">
        <is>
          <t>T</t>
        </is>
      </c>
      <c r="B335" s="6" t="n">
        <v>6</v>
      </c>
      <c r="C335" s="6" t="inlineStr">
        <is>
          <t>C</t>
        </is>
      </c>
      <c r="D335" s="7" t="inlineStr">
        <is>
          <t>04</t>
        </is>
      </c>
      <c r="E335" s="7" t="n">
        <v>2</v>
      </c>
      <c r="F335" s="7">
        <f>A335&amp;B335&amp;"-"&amp;C335&amp;E335&amp;"-"&amp;D335</f>
        <v/>
      </c>
    </row>
    <row r="336">
      <c r="A336" s="6" t="inlineStr">
        <is>
          <t>T</t>
        </is>
      </c>
      <c r="B336" s="6" t="n">
        <v>6</v>
      </c>
      <c r="C336" s="6" t="inlineStr">
        <is>
          <t>C</t>
        </is>
      </c>
      <c r="D336" s="7" t="inlineStr">
        <is>
          <t>05</t>
        </is>
      </c>
      <c r="E336" s="7" t="n">
        <v>2</v>
      </c>
      <c r="F336" s="7">
        <f>A336&amp;B336&amp;"-"&amp;C336&amp;E336&amp;"-"&amp;D336</f>
        <v/>
      </c>
    </row>
    <row r="337">
      <c r="A337" s="6" t="inlineStr">
        <is>
          <t>T</t>
        </is>
      </c>
      <c r="B337" s="6" t="n">
        <v>6</v>
      </c>
      <c r="C337" s="6" t="inlineStr">
        <is>
          <t>C</t>
        </is>
      </c>
      <c r="D337" s="7" t="inlineStr">
        <is>
          <t>06</t>
        </is>
      </c>
      <c r="E337" s="7" t="n">
        <v>2</v>
      </c>
      <c r="F337" s="7">
        <f>A337&amp;B337&amp;"-"&amp;C337&amp;E337&amp;"-"&amp;D337</f>
        <v/>
      </c>
    </row>
    <row r="338">
      <c r="A338" s="6" t="inlineStr">
        <is>
          <t>T</t>
        </is>
      </c>
      <c r="B338" s="6" t="n">
        <v>6</v>
      </c>
      <c r="C338" s="6" t="inlineStr">
        <is>
          <t>C</t>
        </is>
      </c>
      <c r="D338" s="7" t="inlineStr">
        <is>
          <t>01</t>
        </is>
      </c>
      <c r="E338" s="7" t="n">
        <v>3</v>
      </c>
      <c r="F338" s="7">
        <f>A338&amp;B338&amp;"-"&amp;C338&amp;E338&amp;"-"&amp;D338</f>
        <v/>
      </c>
    </row>
    <row r="339">
      <c r="A339" s="6" t="inlineStr">
        <is>
          <t>T</t>
        </is>
      </c>
      <c r="B339" s="6" t="n">
        <v>6</v>
      </c>
      <c r="C339" s="6" t="inlineStr">
        <is>
          <t>C</t>
        </is>
      </c>
      <c r="D339" s="7" t="inlineStr">
        <is>
          <t>02</t>
        </is>
      </c>
      <c r="E339" s="7" t="n">
        <v>3</v>
      </c>
      <c r="F339" s="7">
        <f>A339&amp;B339&amp;"-"&amp;C339&amp;E339&amp;"-"&amp;D339</f>
        <v/>
      </c>
    </row>
    <row r="340">
      <c r="A340" s="6" t="inlineStr">
        <is>
          <t>T</t>
        </is>
      </c>
      <c r="B340" s="6" t="n">
        <v>6</v>
      </c>
      <c r="C340" s="6" t="inlineStr">
        <is>
          <t>C</t>
        </is>
      </c>
      <c r="D340" s="7" t="inlineStr">
        <is>
          <t>03</t>
        </is>
      </c>
      <c r="E340" s="7" t="n">
        <v>3</v>
      </c>
      <c r="F340" s="7">
        <f>A340&amp;B340&amp;"-"&amp;C340&amp;E340&amp;"-"&amp;D340</f>
        <v/>
      </c>
    </row>
    <row r="341">
      <c r="A341" s="6" t="inlineStr">
        <is>
          <t>T</t>
        </is>
      </c>
      <c r="B341" s="6" t="n">
        <v>6</v>
      </c>
      <c r="C341" s="6" t="inlineStr">
        <is>
          <t>C</t>
        </is>
      </c>
      <c r="D341" s="7" t="inlineStr">
        <is>
          <t>04</t>
        </is>
      </c>
      <c r="E341" s="7" t="n">
        <v>3</v>
      </c>
      <c r="F341" s="7">
        <f>A341&amp;B341&amp;"-"&amp;C341&amp;E341&amp;"-"&amp;D341</f>
        <v/>
      </c>
    </row>
    <row r="342">
      <c r="A342" s="6" t="inlineStr">
        <is>
          <t>T</t>
        </is>
      </c>
      <c r="B342" s="6" t="n">
        <v>6</v>
      </c>
      <c r="C342" s="6" t="inlineStr">
        <is>
          <t>C</t>
        </is>
      </c>
      <c r="D342" s="7" t="inlineStr">
        <is>
          <t>05</t>
        </is>
      </c>
      <c r="E342" s="7" t="n">
        <v>3</v>
      </c>
      <c r="F342" s="7">
        <f>A342&amp;B342&amp;"-"&amp;C342&amp;E342&amp;"-"&amp;D342</f>
        <v/>
      </c>
    </row>
    <row r="343">
      <c r="A343" s="6" t="inlineStr">
        <is>
          <t>T</t>
        </is>
      </c>
      <c r="B343" s="6" t="n">
        <v>6</v>
      </c>
      <c r="C343" s="6" t="inlineStr">
        <is>
          <t>C</t>
        </is>
      </c>
      <c r="D343" s="7" t="inlineStr">
        <is>
          <t>06</t>
        </is>
      </c>
      <c r="E343" s="7" t="n">
        <v>3</v>
      </c>
      <c r="F343" s="7">
        <f>A343&amp;B343&amp;"-"&amp;C343&amp;E343&amp;"-"&amp;D343</f>
        <v/>
      </c>
    </row>
    <row r="344">
      <c r="A344" s="6" t="inlineStr">
        <is>
          <t>T</t>
        </is>
      </c>
      <c r="B344" s="6" t="n">
        <v>6</v>
      </c>
      <c r="C344" s="6" t="inlineStr">
        <is>
          <t>C</t>
        </is>
      </c>
      <c r="D344" s="7" t="inlineStr">
        <is>
          <t>01</t>
        </is>
      </c>
      <c r="E344" s="7" t="n">
        <v>4</v>
      </c>
      <c r="F344" s="7">
        <f>A344&amp;B344&amp;"-"&amp;C344&amp;E344&amp;"-"&amp;D344</f>
        <v/>
      </c>
    </row>
    <row r="345">
      <c r="A345" s="6" t="inlineStr">
        <is>
          <t>T</t>
        </is>
      </c>
      <c r="B345" s="6" t="n">
        <v>6</v>
      </c>
      <c r="C345" s="6" t="inlineStr">
        <is>
          <t>C</t>
        </is>
      </c>
      <c r="D345" s="7" t="inlineStr">
        <is>
          <t>02</t>
        </is>
      </c>
      <c r="E345" s="7" t="n">
        <v>4</v>
      </c>
      <c r="F345" s="7">
        <f>A345&amp;B345&amp;"-"&amp;C345&amp;E345&amp;"-"&amp;D345</f>
        <v/>
      </c>
    </row>
    <row r="346">
      <c r="A346" s="6" t="inlineStr">
        <is>
          <t>T</t>
        </is>
      </c>
      <c r="B346" s="6" t="n">
        <v>6</v>
      </c>
      <c r="C346" s="6" t="inlineStr">
        <is>
          <t>C</t>
        </is>
      </c>
      <c r="D346" s="7" t="inlineStr">
        <is>
          <t>03</t>
        </is>
      </c>
      <c r="E346" s="7" t="n">
        <v>4</v>
      </c>
      <c r="F346" s="7">
        <f>A346&amp;B346&amp;"-"&amp;C346&amp;E346&amp;"-"&amp;D346</f>
        <v/>
      </c>
    </row>
    <row r="347">
      <c r="A347" s="6" t="inlineStr">
        <is>
          <t>T</t>
        </is>
      </c>
      <c r="B347" s="6" t="n">
        <v>6</v>
      </c>
      <c r="C347" s="6" t="inlineStr">
        <is>
          <t>C</t>
        </is>
      </c>
      <c r="D347" s="7" t="inlineStr">
        <is>
          <t>04</t>
        </is>
      </c>
      <c r="E347" s="7" t="n">
        <v>4</v>
      </c>
      <c r="F347" s="7">
        <f>A347&amp;B347&amp;"-"&amp;C347&amp;E347&amp;"-"&amp;D347</f>
        <v/>
      </c>
    </row>
    <row r="348">
      <c r="A348" s="6" t="inlineStr">
        <is>
          <t>T</t>
        </is>
      </c>
      <c r="B348" s="6" t="n">
        <v>6</v>
      </c>
      <c r="C348" s="6" t="inlineStr">
        <is>
          <t>C</t>
        </is>
      </c>
      <c r="D348" s="7" t="inlineStr">
        <is>
          <t>05</t>
        </is>
      </c>
      <c r="E348" s="7" t="n">
        <v>4</v>
      </c>
      <c r="F348" s="7">
        <f>A348&amp;B348&amp;"-"&amp;C348&amp;E348&amp;"-"&amp;D348</f>
        <v/>
      </c>
    </row>
    <row r="349">
      <c r="A349" s="6" t="inlineStr">
        <is>
          <t>T</t>
        </is>
      </c>
      <c r="B349" s="6" t="n">
        <v>6</v>
      </c>
      <c r="C349" s="6" t="inlineStr">
        <is>
          <t>C</t>
        </is>
      </c>
      <c r="D349" s="7" t="inlineStr">
        <is>
          <t>06</t>
        </is>
      </c>
      <c r="E349" s="7" t="n">
        <v>4</v>
      </c>
      <c r="F349" s="7">
        <f>A349&amp;B349&amp;"-"&amp;C349&amp;E349&amp;"-"&amp;D349</f>
        <v/>
      </c>
    </row>
    <row r="350">
      <c r="A350" s="6" t="inlineStr">
        <is>
          <t>T</t>
        </is>
      </c>
      <c r="B350" s="6" t="n">
        <v>6</v>
      </c>
      <c r="C350" s="6" t="inlineStr">
        <is>
          <t>C</t>
        </is>
      </c>
      <c r="D350" s="7" t="inlineStr">
        <is>
          <t>01</t>
        </is>
      </c>
      <c r="E350" s="7" t="n">
        <v>5</v>
      </c>
      <c r="F350" s="7">
        <f>A350&amp;B350&amp;"-"&amp;C350&amp;E350&amp;"-"&amp;D350</f>
        <v/>
      </c>
    </row>
    <row r="351">
      <c r="A351" s="6" t="inlineStr">
        <is>
          <t>T</t>
        </is>
      </c>
      <c r="B351" s="6" t="n">
        <v>6</v>
      </c>
      <c r="C351" s="6" t="inlineStr">
        <is>
          <t>C</t>
        </is>
      </c>
      <c r="D351" s="7" t="inlineStr">
        <is>
          <t>02</t>
        </is>
      </c>
      <c r="E351" s="7" t="n">
        <v>5</v>
      </c>
      <c r="F351" s="7">
        <f>A351&amp;B351&amp;"-"&amp;C351&amp;E351&amp;"-"&amp;D351</f>
        <v/>
      </c>
    </row>
    <row r="352">
      <c r="A352" s="6" t="inlineStr">
        <is>
          <t>T</t>
        </is>
      </c>
      <c r="B352" s="6" t="n">
        <v>6</v>
      </c>
      <c r="C352" s="6" t="inlineStr">
        <is>
          <t>C</t>
        </is>
      </c>
      <c r="D352" s="7" t="inlineStr">
        <is>
          <t>03</t>
        </is>
      </c>
      <c r="E352" s="7" t="n">
        <v>5</v>
      </c>
      <c r="F352" s="7">
        <f>A352&amp;B352&amp;"-"&amp;C352&amp;E352&amp;"-"&amp;D352</f>
        <v/>
      </c>
    </row>
    <row r="353">
      <c r="A353" s="6" t="inlineStr">
        <is>
          <t>T</t>
        </is>
      </c>
      <c r="B353" s="6" t="n">
        <v>6</v>
      </c>
      <c r="C353" s="6" t="inlineStr">
        <is>
          <t>C</t>
        </is>
      </c>
      <c r="D353" s="7" t="inlineStr">
        <is>
          <t>04</t>
        </is>
      </c>
      <c r="E353" s="7" t="n">
        <v>5</v>
      </c>
      <c r="F353" s="7">
        <f>A353&amp;B353&amp;"-"&amp;C353&amp;E353&amp;"-"&amp;D353</f>
        <v/>
      </c>
    </row>
    <row r="354">
      <c r="A354" s="6" t="inlineStr">
        <is>
          <t>T</t>
        </is>
      </c>
      <c r="B354" s="6" t="n">
        <v>6</v>
      </c>
      <c r="C354" s="6" t="inlineStr">
        <is>
          <t>C</t>
        </is>
      </c>
      <c r="D354" s="7" t="inlineStr">
        <is>
          <t>05</t>
        </is>
      </c>
      <c r="E354" s="7" t="n">
        <v>5</v>
      </c>
      <c r="F354" s="7">
        <f>A354&amp;B354&amp;"-"&amp;C354&amp;E354&amp;"-"&amp;D354</f>
        <v/>
      </c>
    </row>
    <row r="355">
      <c r="A355" s="6" t="inlineStr">
        <is>
          <t>T</t>
        </is>
      </c>
      <c r="B355" s="6" t="n">
        <v>6</v>
      </c>
      <c r="C355" s="6" t="inlineStr">
        <is>
          <t>C</t>
        </is>
      </c>
      <c r="D355" s="7" t="inlineStr">
        <is>
          <t>06</t>
        </is>
      </c>
      <c r="E355" s="7" t="n">
        <v>5</v>
      </c>
      <c r="F355" s="7">
        <f>A355&amp;B355&amp;"-"&amp;C355&amp;E355&amp;"-"&amp;D355</f>
        <v/>
      </c>
    </row>
    <row r="356">
      <c r="A356" s="6" t="inlineStr">
        <is>
          <t>T</t>
        </is>
      </c>
      <c r="B356" s="6" t="n">
        <v>6</v>
      </c>
      <c r="C356" s="6" t="inlineStr">
        <is>
          <t>C</t>
        </is>
      </c>
      <c r="D356" s="7" t="inlineStr">
        <is>
          <t>01</t>
        </is>
      </c>
      <c r="E356" s="7" t="n">
        <v>6</v>
      </c>
      <c r="F356" s="7">
        <f>A356&amp;B356&amp;"-"&amp;C356&amp;E356&amp;"-"&amp;D356</f>
        <v/>
      </c>
    </row>
    <row r="357">
      <c r="A357" s="6" t="inlineStr">
        <is>
          <t>T</t>
        </is>
      </c>
      <c r="B357" s="6" t="n">
        <v>6</v>
      </c>
      <c r="C357" s="6" t="inlineStr">
        <is>
          <t>C</t>
        </is>
      </c>
      <c r="D357" s="7" t="inlineStr">
        <is>
          <t>02</t>
        </is>
      </c>
      <c r="E357" s="7" t="n">
        <v>6</v>
      </c>
      <c r="F357" s="7">
        <f>A357&amp;B357&amp;"-"&amp;C357&amp;E357&amp;"-"&amp;D357</f>
        <v/>
      </c>
    </row>
    <row r="358">
      <c r="A358" s="6" t="inlineStr">
        <is>
          <t>T</t>
        </is>
      </c>
      <c r="B358" s="6" t="n">
        <v>6</v>
      </c>
      <c r="C358" s="6" t="inlineStr">
        <is>
          <t>C</t>
        </is>
      </c>
      <c r="D358" s="7" t="inlineStr">
        <is>
          <t>03</t>
        </is>
      </c>
      <c r="E358" s="7" t="n">
        <v>6</v>
      </c>
      <c r="F358" s="7">
        <f>A358&amp;B358&amp;"-"&amp;C358&amp;E358&amp;"-"&amp;D358</f>
        <v/>
      </c>
    </row>
    <row r="359">
      <c r="A359" s="6" t="inlineStr">
        <is>
          <t>T</t>
        </is>
      </c>
      <c r="B359" s="6" t="n">
        <v>6</v>
      </c>
      <c r="C359" s="6" t="inlineStr">
        <is>
          <t>C</t>
        </is>
      </c>
      <c r="D359" s="7" t="inlineStr">
        <is>
          <t>04</t>
        </is>
      </c>
      <c r="E359" s="7" t="n">
        <v>6</v>
      </c>
      <c r="F359" s="7">
        <f>A359&amp;B359&amp;"-"&amp;C359&amp;E359&amp;"-"&amp;D359</f>
        <v/>
      </c>
    </row>
    <row r="360">
      <c r="A360" s="6" t="inlineStr">
        <is>
          <t>T</t>
        </is>
      </c>
      <c r="B360" s="6" t="n">
        <v>6</v>
      </c>
      <c r="C360" s="6" t="inlineStr">
        <is>
          <t>C</t>
        </is>
      </c>
      <c r="D360" s="7" t="inlineStr">
        <is>
          <t>05</t>
        </is>
      </c>
      <c r="E360" s="7" t="n">
        <v>6</v>
      </c>
      <c r="F360" s="7">
        <f>A360&amp;B360&amp;"-"&amp;C360&amp;E360&amp;"-"&amp;D360</f>
        <v/>
      </c>
    </row>
    <row r="361">
      <c r="A361" s="6" t="inlineStr">
        <is>
          <t>T</t>
        </is>
      </c>
      <c r="B361" s="6" t="n">
        <v>6</v>
      </c>
      <c r="C361" s="6" t="inlineStr">
        <is>
          <t>C</t>
        </is>
      </c>
      <c r="D361" s="7" t="inlineStr">
        <is>
          <t>06</t>
        </is>
      </c>
      <c r="E361" s="7" t="n">
        <v>6</v>
      </c>
      <c r="F361" s="7">
        <f>A361&amp;B361&amp;"-"&amp;C361&amp;E361&amp;"-"&amp;D361</f>
        <v/>
      </c>
    </row>
    <row r="362">
      <c r="A362" s="8" t="inlineStr">
        <is>
          <t>T</t>
        </is>
      </c>
      <c r="B362" s="6" t="n">
        <v>6</v>
      </c>
      <c r="C362" s="8" t="inlineStr">
        <is>
          <t>C</t>
        </is>
      </c>
      <c r="D362" s="9" t="inlineStr">
        <is>
          <t>01</t>
        </is>
      </c>
      <c r="E362" s="9" t="inlineStr">
        <is>
          <t>M</t>
        </is>
      </c>
      <c r="F362" s="7">
        <f>A362&amp;B362&amp;"-"&amp;C362&amp;E362&amp;"-"&amp;D362</f>
        <v/>
      </c>
    </row>
    <row r="363">
      <c r="A363" s="8" t="inlineStr">
        <is>
          <t>T</t>
        </is>
      </c>
      <c r="B363" s="6" t="n">
        <v>6</v>
      </c>
      <c r="C363" s="8" t="inlineStr">
        <is>
          <t>C</t>
        </is>
      </c>
      <c r="D363" s="9" t="inlineStr">
        <is>
          <t>02</t>
        </is>
      </c>
      <c r="E363" s="9" t="inlineStr">
        <is>
          <t>M</t>
        </is>
      </c>
      <c r="F363" s="7">
        <f>A363&amp;B363&amp;"-"&amp;C363&amp;E363&amp;"-"&amp;D363</f>
        <v/>
      </c>
    </row>
    <row r="364">
      <c r="A364" s="6" t="inlineStr">
        <is>
          <t>T</t>
        </is>
      </c>
      <c r="B364" s="6" t="n">
        <v>6</v>
      </c>
      <c r="C364" s="6" t="inlineStr">
        <is>
          <t>D</t>
        </is>
      </c>
      <c r="D364" s="7" t="inlineStr">
        <is>
          <t>01</t>
        </is>
      </c>
      <c r="E364" s="7" t="n">
        <v>1</v>
      </c>
      <c r="F364" s="7">
        <f>A364&amp;B364&amp;"-"&amp;C364&amp;E364&amp;"-"&amp;D364</f>
        <v/>
      </c>
    </row>
    <row r="365">
      <c r="A365" s="6" t="inlineStr">
        <is>
          <t>T</t>
        </is>
      </c>
      <c r="B365" s="6" t="n">
        <v>6</v>
      </c>
      <c r="C365" s="6" t="inlineStr">
        <is>
          <t>D</t>
        </is>
      </c>
      <c r="D365" s="7" t="inlineStr">
        <is>
          <t>02</t>
        </is>
      </c>
      <c r="E365" s="7" t="n">
        <v>1</v>
      </c>
      <c r="F365" s="7">
        <f>A365&amp;B365&amp;"-"&amp;C365&amp;E365&amp;"-"&amp;D365</f>
        <v/>
      </c>
    </row>
    <row r="366">
      <c r="A366" s="6" t="inlineStr">
        <is>
          <t>T</t>
        </is>
      </c>
      <c r="B366" s="6" t="n">
        <v>6</v>
      </c>
      <c r="C366" s="6" t="inlineStr">
        <is>
          <t>D</t>
        </is>
      </c>
      <c r="D366" s="7" t="inlineStr">
        <is>
          <t>03</t>
        </is>
      </c>
      <c r="E366" s="7" t="n">
        <v>1</v>
      </c>
      <c r="F366" s="7">
        <f>A366&amp;B366&amp;"-"&amp;C366&amp;E366&amp;"-"&amp;D366</f>
        <v/>
      </c>
    </row>
    <row r="367">
      <c r="A367" s="6" t="inlineStr">
        <is>
          <t>T</t>
        </is>
      </c>
      <c r="B367" s="6" t="n">
        <v>6</v>
      </c>
      <c r="C367" s="6" t="inlineStr">
        <is>
          <t>D</t>
        </is>
      </c>
      <c r="D367" s="7" t="inlineStr">
        <is>
          <t>04</t>
        </is>
      </c>
      <c r="E367" s="7" t="n">
        <v>1</v>
      </c>
      <c r="F367" s="7">
        <f>A367&amp;B367&amp;"-"&amp;C367&amp;E367&amp;"-"&amp;D367</f>
        <v/>
      </c>
    </row>
    <row r="368">
      <c r="A368" s="6" t="inlineStr">
        <is>
          <t>T</t>
        </is>
      </c>
      <c r="B368" s="6" t="n">
        <v>6</v>
      </c>
      <c r="C368" s="6" t="inlineStr">
        <is>
          <t>D</t>
        </is>
      </c>
      <c r="D368" s="7" t="inlineStr">
        <is>
          <t>05</t>
        </is>
      </c>
      <c r="E368" s="7" t="n">
        <v>1</v>
      </c>
      <c r="F368" s="7">
        <f>A368&amp;B368&amp;"-"&amp;C368&amp;E368&amp;"-"&amp;D368</f>
        <v/>
      </c>
    </row>
    <row r="369">
      <c r="A369" s="6" t="inlineStr">
        <is>
          <t>T</t>
        </is>
      </c>
      <c r="B369" s="6" t="n">
        <v>6</v>
      </c>
      <c r="C369" s="6" t="inlineStr">
        <is>
          <t>D</t>
        </is>
      </c>
      <c r="D369" s="7" t="inlineStr">
        <is>
          <t>06</t>
        </is>
      </c>
      <c r="E369" s="7" t="n">
        <v>1</v>
      </c>
      <c r="F369" s="7">
        <f>A369&amp;B369&amp;"-"&amp;C369&amp;E369&amp;"-"&amp;D369</f>
        <v/>
      </c>
    </row>
    <row r="370">
      <c r="A370" s="6" t="inlineStr">
        <is>
          <t>T</t>
        </is>
      </c>
      <c r="B370" s="6" t="n">
        <v>6</v>
      </c>
      <c r="C370" s="6" t="inlineStr">
        <is>
          <t>D</t>
        </is>
      </c>
      <c r="D370" s="7" t="inlineStr">
        <is>
          <t>01</t>
        </is>
      </c>
      <c r="E370" s="7" t="n">
        <v>2</v>
      </c>
      <c r="F370" s="7">
        <f>A370&amp;B370&amp;"-"&amp;C370&amp;E370&amp;"-"&amp;D370</f>
        <v/>
      </c>
    </row>
    <row r="371">
      <c r="A371" s="6" t="inlineStr">
        <is>
          <t>T</t>
        </is>
      </c>
      <c r="B371" s="6" t="n">
        <v>6</v>
      </c>
      <c r="C371" s="6" t="inlineStr">
        <is>
          <t>D</t>
        </is>
      </c>
      <c r="D371" s="7" t="inlineStr">
        <is>
          <t>02</t>
        </is>
      </c>
      <c r="E371" s="7" t="n">
        <v>2</v>
      </c>
      <c r="F371" s="7">
        <f>A371&amp;B371&amp;"-"&amp;C371&amp;E371&amp;"-"&amp;D371</f>
        <v/>
      </c>
    </row>
    <row r="372">
      <c r="A372" s="6" t="inlineStr">
        <is>
          <t>T</t>
        </is>
      </c>
      <c r="B372" s="6" t="n">
        <v>6</v>
      </c>
      <c r="C372" s="6" t="inlineStr">
        <is>
          <t>D</t>
        </is>
      </c>
      <c r="D372" s="7" t="inlineStr">
        <is>
          <t>03</t>
        </is>
      </c>
      <c r="E372" s="7" t="n">
        <v>2</v>
      </c>
      <c r="F372" s="7">
        <f>A372&amp;B372&amp;"-"&amp;C372&amp;E372&amp;"-"&amp;D372</f>
        <v/>
      </c>
    </row>
    <row r="373">
      <c r="A373" s="6" t="inlineStr">
        <is>
          <t>T</t>
        </is>
      </c>
      <c r="B373" s="6" t="n">
        <v>6</v>
      </c>
      <c r="C373" s="6" t="inlineStr">
        <is>
          <t>D</t>
        </is>
      </c>
      <c r="D373" s="7" t="inlineStr">
        <is>
          <t>04</t>
        </is>
      </c>
      <c r="E373" s="7" t="n">
        <v>2</v>
      </c>
      <c r="F373" s="7">
        <f>A373&amp;B373&amp;"-"&amp;C373&amp;E373&amp;"-"&amp;D373</f>
        <v/>
      </c>
    </row>
    <row r="374">
      <c r="A374" s="6" t="inlineStr">
        <is>
          <t>T</t>
        </is>
      </c>
      <c r="B374" s="6" t="n">
        <v>6</v>
      </c>
      <c r="C374" s="6" t="inlineStr">
        <is>
          <t>D</t>
        </is>
      </c>
      <c r="D374" s="7" t="inlineStr">
        <is>
          <t>05</t>
        </is>
      </c>
      <c r="E374" s="7" t="n">
        <v>2</v>
      </c>
      <c r="F374" s="7">
        <f>A374&amp;B374&amp;"-"&amp;C374&amp;E374&amp;"-"&amp;D374</f>
        <v/>
      </c>
    </row>
    <row r="375">
      <c r="A375" s="6" t="inlineStr">
        <is>
          <t>T</t>
        </is>
      </c>
      <c r="B375" s="6" t="n">
        <v>6</v>
      </c>
      <c r="C375" s="6" t="inlineStr">
        <is>
          <t>D</t>
        </is>
      </c>
      <c r="D375" s="7" t="inlineStr">
        <is>
          <t>06</t>
        </is>
      </c>
      <c r="E375" s="7" t="n">
        <v>2</v>
      </c>
      <c r="F375" s="7">
        <f>A375&amp;B375&amp;"-"&amp;C375&amp;E375&amp;"-"&amp;D375</f>
        <v/>
      </c>
    </row>
    <row r="376">
      <c r="A376" s="6" t="inlineStr">
        <is>
          <t>T</t>
        </is>
      </c>
      <c r="B376" s="6" t="n">
        <v>6</v>
      </c>
      <c r="C376" s="6" t="inlineStr">
        <is>
          <t>D</t>
        </is>
      </c>
      <c r="D376" s="7" t="inlineStr">
        <is>
          <t>01</t>
        </is>
      </c>
      <c r="E376" s="7" t="n">
        <v>3</v>
      </c>
      <c r="F376" s="7">
        <f>A376&amp;B376&amp;"-"&amp;C376&amp;E376&amp;"-"&amp;D376</f>
        <v/>
      </c>
    </row>
    <row r="377">
      <c r="A377" s="6" t="inlineStr">
        <is>
          <t>T</t>
        </is>
      </c>
      <c r="B377" s="6" t="n">
        <v>6</v>
      </c>
      <c r="C377" s="6" t="inlineStr">
        <is>
          <t>D</t>
        </is>
      </c>
      <c r="D377" s="7" t="inlineStr">
        <is>
          <t>02</t>
        </is>
      </c>
      <c r="E377" s="7" t="n">
        <v>3</v>
      </c>
      <c r="F377" s="7">
        <f>A377&amp;B377&amp;"-"&amp;C377&amp;E377&amp;"-"&amp;D377</f>
        <v/>
      </c>
    </row>
    <row r="378">
      <c r="A378" s="6" t="inlineStr">
        <is>
          <t>T</t>
        </is>
      </c>
      <c r="B378" s="6" t="n">
        <v>6</v>
      </c>
      <c r="C378" s="6" t="inlineStr">
        <is>
          <t>D</t>
        </is>
      </c>
      <c r="D378" s="7" t="inlineStr">
        <is>
          <t>03</t>
        </is>
      </c>
      <c r="E378" s="7" t="n">
        <v>3</v>
      </c>
      <c r="F378" s="7">
        <f>A378&amp;B378&amp;"-"&amp;C378&amp;E378&amp;"-"&amp;D378</f>
        <v/>
      </c>
    </row>
    <row r="379">
      <c r="A379" s="6" t="inlineStr">
        <is>
          <t>T</t>
        </is>
      </c>
      <c r="B379" s="6" t="n">
        <v>6</v>
      </c>
      <c r="C379" s="6" t="inlineStr">
        <is>
          <t>D</t>
        </is>
      </c>
      <c r="D379" s="7" t="inlineStr">
        <is>
          <t>04</t>
        </is>
      </c>
      <c r="E379" s="7" t="n">
        <v>3</v>
      </c>
      <c r="F379" s="7">
        <f>A379&amp;B379&amp;"-"&amp;C379&amp;E379&amp;"-"&amp;D379</f>
        <v/>
      </c>
    </row>
    <row r="380">
      <c r="A380" s="6" t="inlineStr">
        <is>
          <t>T</t>
        </is>
      </c>
      <c r="B380" s="6" t="n">
        <v>6</v>
      </c>
      <c r="C380" s="6" t="inlineStr">
        <is>
          <t>D</t>
        </is>
      </c>
      <c r="D380" s="7" t="inlineStr">
        <is>
          <t>05</t>
        </is>
      </c>
      <c r="E380" s="7" t="n">
        <v>3</v>
      </c>
      <c r="F380" s="7">
        <f>A380&amp;B380&amp;"-"&amp;C380&amp;E380&amp;"-"&amp;D380</f>
        <v/>
      </c>
    </row>
    <row r="381">
      <c r="A381" s="6" t="inlineStr">
        <is>
          <t>T</t>
        </is>
      </c>
      <c r="B381" s="6" t="n">
        <v>6</v>
      </c>
      <c r="C381" s="6" t="inlineStr">
        <is>
          <t>D</t>
        </is>
      </c>
      <c r="D381" s="7" t="inlineStr">
        <is>
          <t>06</t>
        </is>
      </c>
      <c r="E381" s="7" t="n">
        <v>3</v>
      </c>
      <c r="F381" s="7">
        <f>A381&amp;B381&amp;"-"&amp;C381&amp;E381&amp;"-"&amp;D381</f>
        <v/>
      </c>
    </row>
    <row r="382">
      <c r="A382" s="6" t="inlineStr">
        <is>
          <t>T</t>
        </is>
      </c>
      <c r="B382" s="6" t="n">
        <v>6</v>
      </c>
      <c r="C382" s="6" t="inlineStr">
        <is>
          <t>D</t>
        </is>
      </c>
      <c r="D382" s="7" t="inlineStr">
        <is>
          <t>01</t>
        </is>
      </c>
      <c r="E382" s="7" t="n">
        <v>4</v>
      </c>
      <c r="F382" s="7">
        <f>A382&amp;B382&amp;"-"&amp;C382&amp;E382&amp;"-"&amp;D382</f>
        <v/>
      </c>
    </row>
    <row r="383">
      <c r="A383" s="6" t="inlineStr">
        <is>
          <t>T</t>
        </is>
      </c>
      <c r="B383" s="6" t="n">
        <v>6</v>
      </c>
      <c r="C383" s="6" t="inlineStr">
        <is>
          <t>D</t>
        </is>
      </c>
      <c r="D383" s="7" t="inlineStr">
        <is>
          <t>02</t>
        </is>
      </c>
      <c r="E383" s="7" t="n">
        <v>4</v>
      </c>
      <c r="F383" s="7">
        <f>A383&amp;B383&amp;"-"&amp;C383&amp;E383&amp;"-"&amp;D383</f>
        <v/>
      </c>
    </row>
    <row r="384">
      <c r="A384" s="6" t="inlineStr">
        <is>
          <t>T</t>
        </is>
      </c>
      <c r="B384" s="6" t="n">
        <v>6</v>
      </c>
      <c r="C384" s="6" t="inlineStr">
        <is>
          <t>D</t>
        </is>
      </c>
      <c r="D384" s="7" t="inlineStr">
        <is>
          <t>03</t>
        </is>
      </c>
      <c r="E384" s="7" t="n">
        <v>4</v>
      </c>
      <c r="F384" s="7">
        <f>A384&amp;B384&amp;"-"&amp;C384&amp;E384&amp;"-"&amp;D384</f>
        <v/>
      </c>
    </row>
    <row r="385">
      <c r="A385" s="6" t="inlineStr">
        <is>
          <t>T</t>
        </is>
      </c>
      <c r="B385" s="6" t="n">
        <v>6</v>
      </c>
      <c r="C385" s="6" t="inlineStr">
        <is>
          <t>D</t>
        </is>
      </c>
      <c r="D385" s="7" t="inlineStr">
        <is>
          <t>04</t>
        </is>
      </c>
      <c r="E385" s="7" t="n">
        <v>4</v>
      </c>
      <c r="F385" s="7">
        <f>A385&amp;B385&amp;"-"&amp;C385&amp;E385&amp;"-"&amp;D385</f>
        <v/>
      </c>
    </row>
    <row r="386">
      <c r="A386" s="6" t="inlineStr">
        <is>
          <t>T</t>
        </is>
      </c>
      <c r="B386" s="6" t="n">
        <v>6</v>
      </c>
      <c r="C386" s="6" t="inlineStr">
        <is>
          <t>D</t>
        </is>
      </c>
      <c r="D386" s="7" t="inlineStr">
        <is>
          <t>05</t>
        </is>
      </c>
      <c r="E386" s="7" t="n">
        <v>4</v>
      </c>
      <c r="F386" s="7">
        <f>A386&amp;B386&amp;"-"&amp;C386&amp;E386&amp;"-"&amp;D386</f>
        <v/>
      </c>
    </row>
    <row r="387">
      <c r="A387" s="6" t="inlineStr">
        <is>
          <t>T</t>
        </is>
      </c>
      <c r="B387" s="6" t="n">
        <v>6</v>
      </c>
      <c r="C387" s="6" t="inlineStr">
        <is>
          <t>D</t>
        </is>
      </c>
      <c r="D387" s="7" t="inlineStr">
        <is>
          <t>06</t>
        </is>
      </c>
      <c r="E387" s="7" t="n">
        <v>4</v>
      </c>
      <c r="F387" s="7">
        <f>A387&amp;B387&amp;"-"&amp;C387&amp;E387&amp;"-"&amp;D387</f>
        <v/>
      </c>
    </row>
    <row r="388">
      <c r="A388" s="6" t="inlineStr">
        <is>
          <t>R</t>
        </is>
      </c>
      <c r="B388" s="6" t="n">
        <v>3</v>
      </c>
      <c r="C388" s="7" t="inlineStr">
        <is>
          <t>E</t>
        </is>
      </c>
      <c r="D388" s="12" t="inlineStr">
        <is>
          <t>01</t>
        </is>
      </c>
      <c r="E388" s="7" t="n">
        <v>1</v>
      </c>
      <c r="F388" s="7">
        <f>A388&amp;B388&amp;"-"&amp;C388&amp;E388&amp;"-"&amp;D388</f>
        <v/>
      </c>
    </row>
    <row r="389">
      <c r="A389" s="6" t="inlineStr">
        <is>
          <t>R</t>
        </is>
      </c>
      <c r="B389" s="6" t="n">
        <v>3</v>
      </c>
      <c r="C389" s="7" t="inlineStr">
        <is>
          <t>E</t>
        </is>
      </c>
      <c r="D389" s="12" t="inlineStr">
        <is>
          <t>02</t>
        </is>
      </c>
      <c r="E389" s="7" t="n">
        <v>1</v>
      </c>
      <c r="F389" s="7">
        <f>A389&amp;B389&amp;"-"&amp;C389&amp;E389&amp;"-"&amp;D389</f>
        <v/>
      </c>
    </row>
    <row r="390">
      <c r="A390" s="6" t="inlineStr">
        <is>
          <t>R</t>
        </is>
      </c>
      <c r="B390" s="6" t="n">
        <v>3</v>
      </c>
      <c r="C390" s="7" t="inlineStr">
        <is>
          <t>E</t>
        </is>
      </c>
      <c r="D390" s="12" t="inlineStr">
        <is>
          <t>03</t>
        </is>
      </c>
      <c r="E390" s="7" t="n">
        <v>1</v>
      </c>
      <c r="F390" s="7">
        <f>A390&amp;B390&amp;"-"&amp;C390&amp;E390&amp;"-"&amp;D390</f>
        <v/>
      </c>
    </row>
    <row r="391">
      <c r="A391" s="6" t="inlineStr">
        <is>
          <t>R</t>
        </is>
      </c>
      <c r="B391" s="6" t="n">
        <v>3</v>
      </c>
      <c r="C391" s="7" t="inlineStr">
        <is>
          <t>E</t>
        </is>
      </c>
      <c r="D391" s="12" t="inlineStr">
        <is>
          <t>04</t>
        </is>
      </c>
      <c r="E391" s="7" t="n">
        <v>1</v>
      </c>
      <c r="F391" s="7">
        <f>A391&amp;B391&amp;"-"&amp;C391&amp;E391&amp;"-"&amp;D391</f>
        <v/>
      </c>
    </row>
    <row r="392">
      <c r="A392" s="6" t="inlineStr">
        <is>
          <t>R</t>
        </is>
      </c>
      <c r="B392" s="6" t="n">
        <v>3</v>
      </c>
      <c r="C392" s="7" t="inlineStr">
        <is>
          <t>E</t>
        </is>
      </c>
      <c r="D392" s="12" t="inlineStr">
        <is>
          <t>01</t>
        </is>
      </c>
      <c r="E392" s="7" t="n">
        <v>2</v>
      </c>
      <c r="F392" s="7">
        <f>A392&amp;B392&amp;"-"&amp;C392&amp;E392&amp;"-"&amp;D392</f>
        <v/>
      </c>
    </row>
    <row r="393">
      <c r="A393" s="6" t="inlineStr">
        <is>
          <t>R</t>
        </is>
      </c>
      <c r="B393" s="6" t="n">
        <v>3</v>
      </c>
      <c r="C393" s="7" t="inlineStr">
        <is>
          <t>E</t>
        </is>
      </c>
      <c r="D393" s="12" t="inlineStr">
        <is>
          <t>02</t>
        </is>
      </c>
      <c r="E393" s="7" t="n">
        <v>2</v>
      </c>
      <c r="F393" s="7">
        <f>A393&amp;B393&amp;"-"&amp;C393&amp;E393&amp;"-"&amp;D393</f>
        <v/>
      </c>
    </row>
    <row r="394">
      <c r="A394" s="6" t="inlineStr">
        <is>
          <t>R</t>
        </is>
      </c>
      <c r="B394" s="6" t="n">
        <v>3</v>
      </c>
      <c r="C394" s="7" t="inlineStr">
        <is>
          <t>E</t>
        </is>
      </c>
      <c r="D394" s="12" t="inlineStr">
        <is>
          <t>03</t>
        </is>
      </c>
      <c r="E394" s="7" t="n">
        <v>2</v>
      </c>
      <c r="F394" s="7">
        <f>A394&amp;B394&amp;"-"&amp;C394&amp;E394&amp;"-"&amp;D394</f>
        <v/>
      </c>
    </row>
    <row r="395">
      <c r="A395" s="6" t="inlineStr">
        <is>
          <t>R</t>
        </is>
      </c>
      <c r="B395" s="6" t="n">
        <v>3</v>
      </c>
      <c r="C395" s="7" t="inlineStr">
        <is>
          <t>E</t>
        </is>
      </c>
      <c r="D395" s="12" t="inlineStr">
        <is>
          <t>04</t>
        </is>
      </c>
      <c r="E395" s="7" t="n">
        <v>2</v>
      </c>
      <c r="F395" s="7">
        <f>A395&amp;B395&amp;"-"&amp;C395&amp;E395&amp;"-"&amp;D395</f>
        <v/>
      </c>
    </row>
    <row r="396">
      <c r="A396" s="6" t="inlineStr">
        <is>
          <t>R</t>
        </is>
      </c>
      <c r="B396" s="6" t="n">
        <v>3</v>
      </c>
      <c r="C396" s="7" t="inlineStr">
        <is>
          <t>E</t>
        </is>
      </c>
      <c r="D396" s="12" t="inlineStr">
        <is>
          <t>05</t>
        </is>
      </c>
      <c r="E396" s="7" t="n">
        <v>2</v>
      </c>
      <c r="F396" s="7">
        <f>A396&amp;B396&amp;"-"&amp;C396&amp;E396&amp;"-"&amp;D396</f>
        <v/>
      </c>
    </row>
    <row r="397">
      <c r="A397" s="6" t="inlineStr">
        <is>
          <t>R</t>
        </is>
      </c>
      <c r="B397" s="6" t="n">
        <v>3</v>
      </c>
      <c r="C397" s="7" t="inlineStr">
        <is>
          <t>E</t>
        </is>
      </c>
      <c r="D397" s="12" t="inlineStr">
        <is>
          <t>06</t>
        </is>
      </c>
      <c r="E397" s="7" t="n">
        <v>2</v>
      </c>
      <c r="F397" s="7">
        <f>A397&amp;B397&amp;"-"&amp;C397&amp;E397&amp;"-"&amp;D397</f>
        <v/>
      </c>
    </row>
    <row r="398">
      <c r="A398" s="6" t="inlineStr">
        <is>
          <t>R</t>
        </is>
      </c>
      <c r="B398" s="6" t="n">
        <v>3</v>
      </c>
      <c r="C398" s="7" t="inlineStr">
        <is>
          <t>E</t>
        </is>
      </c>
      <c r="D398" s="12" t="inlineStr">
        <is>
          <t>01</t>
        </is>
      </c>
      <c r="E398" s="7" t="n">
        <v>3</v>
      </c>
      <c r="F398" s="7">
        <f>A398&amp;B398&amp;"-"&amp;C398&amp;E398&amp;"-"&amp;D398</f>
        <v/>
      </c>
    </row>
    <row r="399">
      <c r="A399" s="6" t="inlineStr">
        <is>
          <t>R</t>
        </is>
      </c>
      <c r="B399" s="6" t="n">
        <v>3</v>
      </c>
      <c r="C399" s="7" t="inlineStr">
        <is>
          <t>E</t>
        </is>
      </c>
      <c r="D399" s="12" t="inlineStr">
        <is>
          <t>02</t>
        </is>
      </c>
      <c r="E399" s="7" t="n">
        <v>3</v>
      </c>
      <c r="F399" s="7">
        <f>A399&amp;B399&amp;"-"&amp;C399&amp;E399&amp;"-"&amp;D399</f>
        <v/>
      </c>
    </row>
    <row r="400">
      <c r="A400" s="6" t="inlineStr">
        <is>
          <t>R</t>
        </is>
      </c>
      <c r="B400" s="6" t="n">
        <v>3</v>
      </c>
      <c r="C400" s="7" t="inlineStr">
        <is>
          <t>E</t>
        </is>
      </c>
      <c r="D400" s="12" t="inlineStr">
        <is>
          <t>03</t>
        </is>
      </c>
      <c r="E400" s="7" t="n">
        <v>3</v>
      </c>
      <c r="F400" s="7">
        <f>A400&amp;B400&amp;"-"&amp;C400&amp;E400&amp;"-"&amp;D400</f>
        <v/>
      </c>
    </row>
    <row r="401">
      <c r="A401" s="6" t="inlineStr">
        <is>
          <t>R</t>
        </is>
      </c>
      <c r="B401" s="6" t="n">
        <v>3</v>
      </c>
      <c r="C401" s="7" t="inlineStr">
        <is>
          <t>E</t>
        </is>
      </c>
      <c r="D401" s="12" t="inlineStr">
        <is>
          <t>04</t>
        </is>
      </c>
      <c r="E401" s="7" t="n">
        <v>3</v>
      </c>
      <c r="F401" s="7">
        <f>A401&amp;B401&amp;"-"&amp;C401&amp;E401&amp;"-"&amp;D401</f>
        <v/>
      </c>
    </row>
    <row r="402">
      <c r="A402" s="6" t="inlineStr">
        <is>
          <t>R</t>
        </is>
      </c>
      <c r="B402" s="6" t="n">
        <v>3</v>
      </c>
      <c r="C402" s="7" t="inlineStr">
        <is>
          <t>E</t>
        </is>
      </c>
      <c r="D402" s="12" t="inlineStr">
        <is>
          <t>05</t>
        </is>
      </c>
      <c r="E402" s="7" t="n">
        <v>3</v>
      </c>
      <c r="F402" s="7">
        <f>A402&amp;B402&amp;"-"&amp;C402&amp;E402&amp;"-"&amp;D402</f>
        <v/>
      </c>
    </row>
    <row r="403">
      <c r="A403" s="6" t="inlineStr">
        <is>
          <t>R</t>
        </is>
      </c>
      <c r="B403" s="6" t="n">
        <v>3</v>
      </c>
      <c r="C403" s="7" t="inlineStr">
        <is>
          <t>E</t>
        </is>
      </c>
      <c r="D403" s="12" t="inlineStr">
        <is>
          <t>06</t>
        </is>
      </c>
      <c r="E403" s="7" t="n">
        <v>3</v>
      </c>
      <c r="F403" s="7">
        <f>A403&amp;B403&amp;"-"&amp;C403&amp;E403&amp;"-"&amp;D403</f>
        <v/>
      </c>
    </row>
    <row r="404">
      <c r="A404" s="6" t="inlineStr">
        <is>
          <t>R</t>
        </is>
      </c>
      <c r="B404" s="6" t="n">
        <v>3</v>
      </c>
      <c r="C404" s="7" t="inlineStr">
        <is>
          <t>E</t>
        </is>
      </c>
      <c r="D404" s="12" t="inlineStr">
        <is>
          <t>01</t>
        </is>
      </c>
      <c r="E404" s="7" t="n">
        <v>4</v>
      </c>
      <c r="F404" s="7">
        <f>A404&amp;B404&amp;"-"&amp;C404&amp;E404&amp;"-"&amp;D404</f>
        <v/>
      </c>
    </row>
    <row r="405">
      <c r="A405" s="6" t="inlineStr">
        <is>
          <t>R</t>
        </is>
      </c>
      <c r="B405" s="6" t="n">
        <v>3</v>
      </c>
      <c r="C405" s="7" t="inlineStr">
        <is>
          <t>E</t>
        </is>
      </c>
      <c r="D405" s="12" t="inlineStr">
        <is>
          <t>02</t>
        </is>
      </c>
      <c r="E405" s="7" t="n">
        <v>4</v>
      </c>
      <c r="F405" s="7">
        <f>A405&amp;B405&amp;"-"&amp;C405&amp;E405&amp;"-"&amp;D405</f>
        <v/>
      </c>
    </row>
    <row r="406">
      <c r="A406" s="6" t="inlineStr">
        <is>
          <t>R</t>
        </is>
      </c>
      <c r="B406" s="6" t="n">
        <v>3</v>
      </c>
      <c r="C406" s="7" t="inlineStr">
        <is>
          <t>E</t>
        </is>
      </c>
      <c r="D406" s="12" t="inlineStr">
        <is>
          <t>03</t>
        </is>
      </c>
      <c r="E406" s="7" t="n">
        <v>4</v>
      </c>
      <c r="F406" s="7">
        <f>A406&amp;B406&amp;"-"&amp;C406&amp;E406&amp;"-"&amp;D406</f>
        <v/>
      </c>
    </row>
    <row r="407">
      <c r="A407" s="6" t="inlineStr">
        <is>
          <t>R</t>
        </is>
      </c>
      <c r="B407" s="6" t="n">
        <v>3</v>
      </c>
      <c r="C407" s="7" t="inlineStr">
        <is>
          <t>E</t>
        </is>
      </c>
      <c r="D407" s="12" t="inlineStr">
        <is>
          <t>04</t>
        </is>
      </c>
      <c r="E407" s="7" t="n">
        <v>4</v>
      </c>
      <c r="F407" s="7">
        <f>A407&amp;B407&amp;"-"&amp;C407&amp;E407&amp;"-"&amp;D407</f>
        <v/>
      </c>
    </row>
    <row r="408">
      <c r="A408" s="6" t="inlineStr">
        <is>
          <t>R</t>
        </is>
      </c>
      <c r="B408" s="6" t="n">
        <v>3</v>
      </c>
      <c r="C408" s="7" t="inlineStr">
        <is>
          <t>E</t>
        </is>
      </c>
      <c r="D408" s="12" t="inlineStr">
        <is>
          <t>05</t>
        </is>
      </c>
      <c r="E408" s="7" t="n">
        <v>4</v>
      </c>
      <c r="F408" s="7">
        <f>A408&amp;B408&amp;"-"&amp;C408&amp;E408&amp;"-"&amp;D408</f>
        <v/>
      </c>
    </row>
    <row r="409">
      <c r="A409" s="6" t="inlineStr">
        <is>
          <t>R</t>
        </is>
      </c>
      <c r="B409" s="6" t="n">
        <v>3</v>
      </c>
      <c r="C409" s="7" t="inlineStr">
        <is>
          <t>E</t>
        </is>
      </c>
      <c r="D409" s="12" t="inlineStr">
        <is>
          <t>06</t>
        </is>
      </c>
      <c r="E409" s="7" t="n">
        <v>4</v>
      </c>
      <c r="F409" s="7">
        <f>A409&amp;B409&amp;"-"&amp;C409&amp;E409&amp;"-"&amp;D409</f>
        <v/>
      </c>
    </row>
    <row r="410">
      <c r="A410" s="6" t="inlineStr">
        <is>
          <t>R</t>
        </is>
      </c>
      <c r="B410" s="6" t="n">
        <v>3</v>
      </c>
      <c r="C410" s="7" t="inlineStr">
        <is>
          <t>F</t>
        </is>
      </c>
      <c r="D410" s="12" t="inlineStr">
        <is>
          <t>01</t>
        </is>
      </c>
      <c r="E410" s="7" t="n">
        <v>1</v>
      </c>
      <c r="F410" s="7">
        <f>A410&amp;B410&amp;"-"&amp;C410&amp;E410&amp;"-"&amp;D410</f>
        <v/>
      </c>
    </row>
    <row r="411">
      <c r="A411" s="6" t="inlineStr">
        <is>
          <t>R</t>
        </is>
      </c>
      <c r="B411" s="6" t="n">
        <v>3</v>
      </c>
      <c r="C411" s="7" t="inlineStr">
        <is>
          <t>F</t>
        </is>
      </c>
      <c r="D411" s="12" t="inlineStr">
        <is>
          <t>02</t>
        </is>
      </c>
      <c r="E411" s="7" t="n">
        <v>1</v>
      </c>
      <c r="F411" s="7">
        <f>A411&amp;B411&amp;"-"&amp;C411&amp;E411&amp;"-"&amp;D411</f>
        <v/>
      </c>
    </row>
    <row r="412">
      <c r="A412" s="6" t="inlineStr">
        <is>
          <t>R</t>
        </is>
      </c>
      <c r="B412" s="6" t="n">
        <v>3</v>
      </c>
      <c r="C412" s="7" t="inlineStr">
        <is>
          <t>F</t>
        </is>
      </c>
      <c r="D412" s="12" t="inlineStr">
        <is>
          <t>03</t>
        </is>
      </c>
      <c r="E412" s="7" t="n">
        <v>1</v>
      </c>
      <c r="F412" s="7">
        <f>A412&amp;B412&amp;"-"&amp;C412&amp;E412&amp;"-"&amp;D412</f>
        <v/>
      </c>
    </row>
    <row r="413">
      <c r="A413" s="6" t="inlineStr">
        <is>
          <t>R</t>
        </is>
      </c>
      <c r="B413" s="6" t="n">
        <v>3</v>
      </c>
      <c r="C413" s="7" t="inlineStr">
        <is>
          <t>F</t>
        </is>
      </c>
      <c r="D413" s="12" t="inlineStr">
        <is>
          <t>04</t>
        </is>
      </c>
      <c r="E413" s="7" t="n">
        <v>1</v>
      </c>
      <c r="F413" s="7">
        <f>A413&amp;B413&amp;"-"&amp;C413&amp;E413&amp;"-"&amp;D413</f>
        <v/>
      </c>
    </row>
    <row r="414">
      <c r="A414" s="6" t="inlineStr">
        <is>
          <t>R</t>
        </is>
      </c>
      <c r="B414" s="6" t="n">
        <v>3</v>
      </c>
      <c r="C414" s="7" t="inlineStr">
        <is>
          <t>F</t>
        </is>
      </c>
      <c r="D414" s="12" t="inlineStr">
        <is>
          <t>05</t>
        </is>
      </c>
      <c r="E414" s="7" t="n">
        <v>1</v>
      </c>
      <c r="F414" s="7">
        <f>A414&amp;B414&amp;"-"&amp;C414&amp;E414&amp;"-"&amp;D414</f>
        <v/>
      </c>
    </row>
    <row r="415">
      <c r="A415" s="6" t="inlineStr">
        <is>
          <t>R</t>
        </is>
      </c>
      <c r="B415" s="6" t="n">
        <v>3</v>
      </c>
      <c r="C415" s="7" t="inlineStr">
        <is>
          <t>F</t>
        </is>
      </c>
      <c r="D415" s="12" t="inlineStr">
        <is>
          <t>06</t>
        </is>
      </c>
      <c r="E415" s="7" t="n">
        <v>1</v>
      </c>
      <c r="F415" s="7">
        <f>A415&amp;B415&amp;"-"&amp;C415&amp;E415&amp;"-"&amp;D415</f>
        <v/>
      </c>
    </row>
    <row r="416">
      <c r="A416" s="6" t="inlineStr">
        <is>
          <t>R</t>
        </is>
      </c>
      <c r="B416" s="6" t="n">
        <v>3</v>
      </c>
      <c r="C416" s="7" t="inlineStr">
        <is>
          <t>F</t>
        </is>
      </c>
      <c r="D416" s="12" t="inlineStr">
        <is>
          <t>07</t>
        </is>
      </c>
      <c r="E416" s="7" t="n">
        <v>1</v>
      </c>
      <c r="F416" s="7">
        <f>A416&amp;B416&amp;"-"&amp;C416&amp;E416&amp;"-"&amp;D416</f>
        <v/>
      </c>
    </row>
    <row r="417">
      <c r="A417" s="6" t="inlineStr">
        <is>
          <t>R</t>
        </is>
      </c>
      <c r="B417" s="6" t="n">
        <v>3</v>
      </c>
      <c r="C417" s="7" t="inlineStr">
        <is>
          <t>F</t>
        </is>
      </c>
      <c r="D417" s="12" t="inlineStr">
        <is>
          <t>08</t>
        </is>
      </c>
      <c r="E417" s="7" t="n">
        <v>1</v>
      </c>
      <c r="F417" s="7">
        <f>A417&amp;B417&amp;"-"&amp;C417&amp;E417&amp;"-"&amp;D417</f>
        <v/>
      </c>
    </row>
    <row r="418">
      <c r="A418" s="6" t="inlineStr">
        <is>
          <t>R</t>
        </is>
      </c>
      <c r="B418" s="6" t="n">
        <v>3</v>
      </c>
      <c r="C418" s="7" t="inlineStr">
        <is>
          <t>F</t>
        </is>
      </c>
      <c r="D418" s="12" t="inlineStr">
        <is>
          <t>01</t>
        </is>
      </c>
      <c r="E418" s="7" t="n">
        <v>2</v>
      </c>
      <c r="F418" s="7">
        <f>A418&amp;B418&amp;"-"&amp;C418&amp;E418&amp;"-"&amp;D418</f>
        <v/>
      </c>
    </row>
    <row r="419">
      <c r="A419" s="6" t="inlineStr">
        <is>
          <t>R</t>
        </is>
      </c>
      <c r="B419" s="6" t="n">
        <v>3</v>
      </c>
      <c r="C419" s="7" t="inlineStr">
        <is>
          <t>F</t>
        </is>
      </c>
      <c r="D419" s="12" t="inlineStr">
        <is>
          <t>02</t>
        </is>
      </c>
      <c r="E419" s="7" t="n">
        <v>2</v>
      </c>
      <c r="F419" s="7">
        <f>A419&amp;B419&amp;"-"&amp;C419&amp;E419&amp;"-"&amp;D419</f>
        <v/>
      </c>
    </row>
    <row r="420">
      <c r="A420" s="6" t="inlineStr">
        <is>
          <t>R</t>
        </is>
      </c>
      <c r="B420" s="6" t="n">
        <v>3</v>
      </c>
      <c r="C420" s="7" t="inlineStr">
        <is>
          <t>F</t>
        </is>
      </c>
      <c r="D420" s="12" t="inlineStr">
        <is>
          <t>03</t>
        </is>
      </c>
      <c r="E420" s="7" t="n">
        <v>2</v>
      </c>
      <c r="F420" s="7">
        <f>A420&amp;B420&amp;"-"&amp;C420&amp;E420&amp;"-"&amp;D420</f>
        <v/>
      </c>
    </row>
    <row r="421">
      <c r="A421" s="6" t="inlineStr">
        <is>
          <t>R</t>
        </is>
      </c>
      <c r="B421" s="6" t="n">
        <v>3</v>
      </c>
      <c r="C421" s="7" t="inlineStr">
        <is>
          <t>F</t>
        </is>
      </c>
      <c r="D421" s="12" t="inlineStr">
        <is>
          <t>04</t>
        </is>
      </c>
      <c r="E421" s="7" t="n">
        <v>2</v>
      </c>
      <c r="F421" s="7">
        <f>A421&amp;B421&amp;"-"&amp;C421&amp;E421&amp;"-"&amp;D421</f>
        <v/>
      </c>
    </row>
    <row r="422">
      <c r="A422" s="6" t="inlineStr">
        <is>
          <t>R</t>
        </is>
      </c>
      <c r="B422" s="6" t="n">
        <v>3</v>
      </c>
      <c r="C422" s="7" t="inlineStr">
        <is>
          <t>F</t>
        </is>
      </c>
      <c r="D422" s="12" t="inlineStr">
        <is>
          <t>05</t>
        </is>
      </c>
      <c r="E422" s="7" t="n">
        <v>2</v>
      </c>
      <c r="F422" s="7">
        <f>A422&amp;B422&amp;"-"&amp;C422&amp;E422&amp;"-"&amp;D422</f>
        <v/>
      </c>
    </row>
    <row r="423">
      <c r="A423" s="6" t="inlineStr">
        <is>
          <t>R</t>
        </is>
      </c>
      <c r="B423" s="6" t="n">
        <v>3</v>
      </c>
      <c r="C423" s="7" t="inlineStr">
        <is>
          <t>F</t>
        </is>
      </c>
      <c r="D423" s="12" t="inlineStr">
        <is>
          <t>06</t>
        </is>
      </c>
      <c r="E423" s="7" t="n">
        <v>2</v>
      </c>
      <c r="F423" s="7">
        <f>A423&amp;B423&amp;"-"&amp;C423&amp;E423&amp;"-"&amp;D423</f>
        <v/>
      </c>
    </row>
    <row r="424">
      <c r="A424" s="6" t="inlineStr">
        <is>
          <t>R</t>
        </is>
      </c>
      <c r="B424" s="6" t="n">
        <v>3</v>
      </c>
      <c r="C424" s="7" t="inlineStr">
        <is>
          <t>F</t>
        </is>
      </c>
      <c r="D424" s="12" t="inlineStr">
        <is>
          <t>01</t>
        </is>
      </c>
      <c r="E424" s="7" t="n">
        <v>3</v>
      </c>
      <c r="F424" s="7">
        <f>A424&amp;B424&amp;"-"&amp;C424&amp;E424&amp;"-"&amp;D424</f>
        <v/>
      </c>
    </row>
    <row r="425">
      <c r="A425" s="6" t="inlineStr">
        <is>
          <t>R</t>
        </is>
      </c>
      <c r="B425" s="6" t="n">
        <v>3</v>
      </c>
      <c r="C425" s="7" t="inlineStr">
        <is>
          <t>F</t>
        </is>
      </c>
      <c r="D425" s="12" t="inlineStr">
        <is>
          <t>02</t>
        </is>
      </c>
      <c r="E425" s="7" t="n">
        <v>3</v>
      </c>
      <c r="F425" s="7">
        <f>A425&amp;B425&amp;"-"&amp;C425&amp;E425&amp;"-"&amp;D425</f>
        <v/>
      </c>
    </row>
    <row r="426">
      <c r="A426" s="6" t="inlineStr">
        <is>
          <t>R</t>
        </is>
      </c>
      <c r="B426" s="6" t="n">
        <v>3</v>
      </c>
      <c r="C426" s="7" t="inlineStr">
        <is>
          <t>F</t>
        </is>
      </c>
      <c r="D426" s="12" t="inlineStr">
        <is>
          <t>03</t>
        </is>
      </c>
      <c r="E426" s="7" t="n">
        <v>3</v>
      </c>
      <c r="F426" s="7">
        <f>A426&amp;B426&amp;"-"&amp;C426&amp;E426&amp;"-"&amp;D426</f>
        <v/>
      </c>
    </row>
    <row r="427">
      <c r="A427" s="6" t="inlineStr">
        <is>
          <t>R</t>
        </is>
      </c>
      <c r="B427" s="6" t="n">
        <v>3</v>
      </c>
      <c r="C427" s="7" t="inlineStr">
        <is>
          <t>F</t>
        </is>
      </c>
      <c r="D427" s="12" t="inlineStr">
        <is>
          <t>04</t>
        </is>
      </c>
      <c r="E427" s="7" t="n">
        <v>3</v>
      </c>
      <c r="F427" s="7">
        <f>A427&amp;B427&amp;"-"&amp;C427&amp;E427&amp;"-"&amp;D427</f>
        <v/>
      </c>
    </row>
    <row r="428">
      <c r="A428" s="6" t="inlineStr">
        <is>
          <t>R</t>
        </is>
      </c>
      <c r="B428" s="6" t="n">
        <v>3</v>
      </c>
      <c r="C428" s="7" t="inlineStr">
        <is>
          <t>F</t>
        </is>
      </c>
      <c r="D428" s="12" t="inlineStr">
        <is>
          <t>05</t>
        </is>
      </c>
      <c r="E428" s="7" t="n">
        <v>3</v>
      </c>
      <c r="F428" s="7">
        <f>A428&amp;B428&amp;"-"&amp;C428&amp;E428&amp;"-"&amp;D428</f>
        <v/>
      </c>
    </row>
    <row r="429">
      <c r="A429" s="6" t="inlineStr">
        <is>
          <t>R</t>
        </is>
      </c>
      <c r="B429" s="6" t="n">
        <v>3</v>
      </c>
      <c r="C429" s="7" t="inlineStr">
        <is>
          <t>F</t>
        </is>
      </c>
      <c r="D429" s="12" t="inlineStr">
        <is>
          <t>06</t>
        </is>
      </c>
      <c r="E429" s="7" t="n">
        <v>3</v>
      </c>
      <c r="F429" s="7">
        <f>A429&amp;B429&amp;"-"&amp;C429&amp;E429&amp;"-"&amp;D429</f>
        <v/>
      </c>
    </row>
    <row r="430">
      <c r="A430" s="6" t="inlineStr">
        <is>
          <t>R</t>
        </is>
      </c>
      <c r="B430" s="6" t="n">
        <v>3</v>
      </c>
      <c r="C430" s="7" t="inlineStr">
        <is>
          <t>F</t>
        </is>
      </c>
      <c r="D430" s="12" t="inlineStr">
        <is>
          <t>01</t>
        </is>
      </c>
      <c r="E430" s="7" t="n">
        <v>4</v>
      </c>
      <c r="F430" s="7">
        <f>A430&amp;B430&amp;"-"&amp;C430&amp;E430&amp;"-"&amp;D430</f>
        <v/>
      </c>
    </row>
    <row r="431">
      <c r="A431" s="6" t="inlineStr">
        <is>
          <t>R</t>
        </is>
      </c>
      <c r="B431" s="6" t="n">
        <v>3</v>
      </c>
      <c r="C431" s="7" t="inlineStr">
        <is>
          <t>F</t>
        </is>
      </c>
      <c r="D431" s="12" t="inlineStr">
        <is>
          <t>02</t>
        </is>
      </c>
      <c r="E431" s="7" t="n">
        <v>4</v>
      </c>
      <c r="F431" s="7">
        <f>A431&amp;B431&amp;"-"&amp;C431&amp;E431&amp;"-"&amp;D431</f>
        <v/>
      </c>
    </row>
    <row r="432">
      <c r="A432" s="6" t="inlineStr">
        <is>
          <t>R</t>
        </is>
      </c>
      <c r="B432" s="6" t="n">
        <v>3</v>
      </c>
      <c r="C432" s="7" t="inlineStr">
        <is>
          <t>F</t>
        </is>
      </c>
      <c r="D432" s="12" t="inlineStr">
        <is>
          <t>03</t>
        </is>
      </c>
      <c r="E432" s="7" t="n">
        <v>4</v>
      </c>
      <c r="F432" s="7">
        <f>A432&amp;B432&amp;"-"&amp;C432&amp;E432&amp;"-"&amp;D432</f>
        <v/>
      </c>
    </row>
    <row r="433">
      <c r="A433" s="6" t="inlineStr">
        <is>
          <t>R</t>
        </is>
      </c>
      <c r="B433" s="6" t="n">
        <v>3</v>
      </c>
      <c r="C433" s="7" t="inlineStr">
        <is>
          <t>F</t>
        </is>
      </c>
      <c r="D433" s="12" t="inlineStr">
        <is>
          <t>04</t>
        </is>
      </c>
      <c r="E433" s="7" t="n">
        <v>4</v>
      </c>
      <c r="F433" s="7">
        <f>A433&amp;B433&amp;"-"&amp;C433&amp;E433&amp;"-"&amp;D433</f>
        <v/>
      </c>
    </row>
    <row r="434">
      <c r="A434" s="6" t="inlineStr">
        <is>
          <t>R</t>
        </is>
      </c>
      <c r="B434" s="6" t="n">
        <v>3</v>
      </c>
      <c r="C434" s="7" t="inlineStr">
        <is>
          <t>F</t>
        </is>
      </c>
      <c r="D434" s="12" t="inlineStr">
        <is>
          <t>05</t>
        </is>
      </c>
      <c r="E434" s="7" t="n">
        <v>4</v>
      </c>
      <c r="F434" s="7">
        <f>A434&amp;B434&amp;"-"&amp;C434&amp;E434&amp;"-"&amp;D434</f>
        <v/>
      </c>
    </row>
    <row r="435">
      <c r="A435" s="6" t="inlineStr">
        <is>
          <t>R</t>
        </is>
      </c>
      <c r="B435" s="6" t="n">
        <v>3</v>
      </c>
      <c r="C435" s="7" t="inlineStr">
        <is>
          <t>F</t>
        </is>
      </c>
      <c r="D435" s="12" t="inlineStr">
        <is>
          <t>06</t>
        </is>
      </c>
      <c r="E435" s="7" t="n">
        <v>4</v>
      </c>
      <c r="F435" s="7">
        <f>A435&amp;B435&amp;"-"&amp;C435&amp;E435&amp;"-"&amp;D435</f>
        <v/>
      </c>
    </row>
    <row r="436">
      <c r="A436" s="6" t="inlineStr">
        <is>
          <t>R</t>
        </is>
      </c>
      <c r="B436" s="6" t="n">
        <v>3</v>
      </c>
      <c r="C436" s="7" t="inlineStr">
        <is>
          <t>F</t>
        </is>
      </c>
      <c r="D436" s="12" t="inlineStr">
        <is>
          <t>07</t>
        </is>
      </c>
      <c r="E436" s="7" t="n">
        <v>4</v>
      </c>
      <c r="F436" s="7">
        <f>A436&amp;B436&amp;"-"&amp;C436&amp;E436&amp;"-"&amp;D436</f>
        <v/>
      </c>
    </row>
    <row r="437">
      <c r="A437" s="6" t="inlineStr">
        <is>
          <t>R</t>
        </is>
      </c>
      <c r="B437" s="6" t="n">
        <v>3</v>
      </c>
      <c r="C437" s="7" t="inlineStr">
        <is>
          <t>F</t>
        </is>
      </c>
      <c r="D437" s="12" t="inlineStr">
        <is>
          <t>08</t>
        </is>
      </c>
      <c r="E437" s="7" t="n">
        <v>4</v>
      </c>
      <c r="F437" s="7">
        <f>A437&amp;B437&amp;"-"&amp;C437&amp;E437&amp;"-"&amp;D437</f>
        <v/>
      </c>
    </row>
    <row r="438">
      <c r="A438" s="8" t="inlineStr">
        <is>
          <t>R</t>
        </is>
      </c>
      <c r="B438" s="8" t="n">
        <v>3</v>
      </c>
      <c r="C438" s="9" t="inlineStr">
        <is>
          <t>F</t>
        </is>
      </c>
      <c r="D438" s="13" t="inlineStr">
        <is>
          <t>03</t>
        </is>
      </c>
      <c r="E438" s="9" t="inlineStr">
        <is>
          <t>M</t>
        </is>
      </c>
      <c r="F438" s="9">
        <f>A438&amp;B438&amp;"-"&amp;C438&amp;E438&amp;"-"&amp;D438</f>
        <v/>
      </c>
    </row>
    <row r="439">
      <c r="A439" s="6" t="inlineStr">
        <is>
          <t>R</t>
        </is>
      </c>
      <c r="B439" s="6" t="n">
        <v>3</v>
      </c>
      <c r="C439" s="6" t="inlineStr">
        <is>
          <t>G</t>
        </is>
      </c>
      <c r="D439" s="12" t="inlineStr">
        <is>
          <t>01</t>
        </is>
      </c>
      <c r="E439" s="7" t="n">
        <v>1</v>
      </c>
      <c r="F439" s="7">
        <f>A439&amp;B439&amp;"-"&amp;C439&amp;E439&amp;"-"&amp;D439</f>
        <v/>
      </c>
    </row>
    <row r="440">
      <c r="A440" s="6" t="inlineStr">
        <is>
          <t>R</t>
        </is>
      </c>
      <c r="B440" s="6" t="n">
        <v>3</v>
      </c>
      <c r="C440" s="6" t="inlineStr">
        <is>
          <t>G</t>
        </is>
      </c>
      <c r="D440" s="12" t="inlineStr">
        <is>
          <t>02</t>
        </is>
      </c>
      <c r="E440" s="7" t="n">
        <v>1</v>
      </c>
      <c r="F440" s="7">
        <f>A440&amp;B440&amp;"-"&amp;C440&amp;E440&amp;"-"&amp;D440</f>
        <v/>
      </c>
    </row>
    <row r="441">
      <c r="A441" s="6" t="inlineStr">
        <is>
          <t>R</t>
        </is>
      </c>
      <c r="B441" s="6" t="n">
        <v>3</v>
      </c>
      <c r="C441" s="6" t="inlineStr">
        <is>
          <t>G</t>
        </is>
      </c>
      <c r="D441" s="12" t="inlineStr">
        <is>
          <t>03</t>
        </is>
      </c>
      <c r="E441" s="7" t="n">
        <v>1</v>
      </c>
      <c r="F441" s="7">
        <f>A441&amp;B441&amp;"-"&amp;C441&amp;E441&amp;"-"&amp;D441</f>
        <v/>
      </c>
    </row>
    <row r="442">
      <c r="A442" s="6" t="inlineStr">
        <is>
          <t>R</t>
        </is>
      </c>
      <c r="B442" s="6" t="n">
        <v>3</v>
      </c>
      <c r="C442" s="6" t="inlineStr">
        <is>
          <t>G</t>
        </is>
      </c>
      <c r="D442" s="12" t="inlineStr">
        <is>
          <t>04</t>
        </is>
      </c>
      <c r="E442" s="7" t="n">
        <v>1</v>
      </c>
      <c r="F442" s="7">
        <f>A442&amp;B442&amp;"-"&amp;C442&amp;E442&amp;"-"&amp;D442</f>
        <v/>
      </c>
    </row>
    <row r="443">
      <c r="A443" s="6" t="inlineStr">
        <is>
          <t>R</t>
        </is>
      </c>
      <c r="B443" s="6" t="n">
        <v>3</v>
      </c>
      <c r="C443" s="6" t="inlineStr">
        <is>
          <t>G</t>
        </is>
      </c>
      <c r="D443" s="12" t="inlineStr">
        <is>
          <t>05</t>
        </is>
      </c>
      <c r="E443" s="7" t="n">
        <v>1</v>
      </c>
      <c r="F443" s="7">
        <f>A443&amp;B443&amp;"-"&amp;C443&amp;E443&amp;"-"&amp;D443</f>
        <v/>
      </c>
    </row>
    <row r="444">
      <c r="A444" s="6" t="inlineStr">
        <is>
          <t>R</t>
        </is>
      </c>
      <c r="B444" s="6" t="n">
        <v>3</v>
      </c>
      <c r="C444" s="6" t="inlineStr">
        <is>
          <t>G</t>
        </is>
      </c>
      <c r="D444" s="12" t="inlineStr">
        <is>
          <t>06</t>
        </is>
      </c>
      <c r="E444" s="7" t="n">
        <v>1</v>
      </c>
      <c r="F444" s="7">
        <f>A444&amp;B444&amp;"-"&amp;C444&amp;E444&amp;"-"&amp;D444</f>
        <v/>
      </c>
    </row>
    <row r="445">
      <c r="A445" s="6" t="inlineStr">
        <is>
          <t>R</t>
        </is>
      </c>
      <c r="B445" s="6" t="n">
        <v>3</v>
      </c>
      <c r="C445" s="6" t="inlineStr">
        <is>
          <t>G</t>
        </is>
      </c>
      <c r="D445" s="12" t="inlineStr">
        <is>
          <t>01</t>
        </is>
      </c>
      <c r="E445" s="7" t="n">
        <v>2</v>
      </c>
      <c r="F445" s="7">
        <f>A445&amp;B445&amp;"-"&amp;C445&amp;E445&amp;"-"&amp;D445</f>
        <v/>
      </c>
    </row>
    <row r="446">
      <c r="A446" s="6" t="inlineStr">
        <is>
          <t>R</t>
        </is>
      </c>
      <c r="B446" s="6" t="n">
        <v>3</v>
      </c>
      <c r="C446" s="6" t="inlineStr">
        <is>
          <t>G</t>
        </is>
      </c>
      <c r="D446" s="12" t="inlineStr">
        <is>
          <t>02</t>
        </is>
      </c>
      <c r="E446" s="7" t="n">
        <v>2</v>
      </c>
      <c r="F446" s="7">
        <f>A446&amp;B446&amp;"-"&amp;C446&amp;E446&amp;"-"&amp;D446</f>
        <v/>
      </c>
    </row>
    <row r="447">
      <c r="A447" s="6" t="inlineStr">
        <is>
          <t>R</t>
        </is>
      </c>
      <c r="B447" s="6" t="n">
        <v>3</v>
      </c>
      <c r="C447" s="6" t="inlineStr">
        <is>
          <t>G</t>
        </is>
      </c>
      <c r="D447" s="12" t="inlineStr">
        <is>
          <t>03</t>
        </is>
      </c>
      <c r="E447" s="7" t="n">
        <v>2</v>
      </c>
      <c r="F447" s="7">
        <f>A447&amp;B447&amp;"-"&amp;C447&amp;E447&amp;"-"&amp;D447</f>
        <v/>
      </c>
    </row>
    <row r="448">
      <c r="A448" s="6" t="inlineStr">
        <is>
          <t>R</t>
        </is>
      </c>
      <c r="B448" s="6" t="n">
        <v>3</v>
      </c>
      <c r="C448" s="6" t="inlineStr">
        <is>
          <t>G</t>
        </is>
      </c>
      <c r="D448" s="12" t="inlineStr">
        <is>
          <t>04</t>
        </is>
      </c>
      <c r="E448" s="7" t="n">
        <v>2</v>
      </c>
      <c r="F448" s="7">
        <f>A448&amp;B448&amp;"-"&amp;C448&amp;E448&amp;"-"&amp;D448</f>
        <v/>
      </c>
    </row>
    <row r="449">
      <c r="A449" s="6" t="inlineStr">
        <is>
          <t>R</t>
        </is>
      </c>
      <c r="B449" s="6" t="n">
        <v>3</v>
      </c>
      <c r="C449" s="6" t="inlineStr">
        <is>
          <t>G</t>
        </is>
      </c>
      <c r="D449" s="12" t="inlineStr">
        <is>
          <t>01</t>
        </is>
      </c>
      <c r="E449" s="7" t="n">
        <v>3</v>
      </c>
      <c r="F449" s="7">
        <f>A449&amp;B449&amp;"-"&amp;C449&amp;E449&amp;"-"&amp;D449</f>
        <v/>
      </c>
    </row>
    <row r="450">
      <c r="A450" s="6" t="inlineStr">
        <is>
          <t>R</t>
        </is>
      </c>
      <c r="B450" s="6" t="n">
        <v>3</v>
      </c>
      <c r="C450" s="6" t="inlineStr">
        <is>
          <t>G</t>
        </is>
      </c>
      <c r="D450" s="12" t="inlineStr">
        <is>
          <t>02</t>
        </is>
      </c>
      <c r="E450" s="7" t="n">
        <v>3</v>
      </c>
      <c r="F450" s="7">
        <f>A450&amp;B450&amp;"-"&amp;C450&amp;E450&amp;"-"&amp;D450</f>
        <v/>
      </c>
    </row>
    <row r="451">
      <c r="A451" s="6" t="inlineStr">
        <is>
          <t>R</t>
        </is>
      </c>
      <c r="B451" s="6" t="n">
        <v>3</v>
      </c>
      <c r="C451" s="6" t="inlineStr">
        <is>
          <t>G</t>
        </is>
      </c>
      <c r="D451" s="12" t="inlineStr">
        <is>
          <t>03</t>
        </is>
      </c>
      <c r="E451" s="7" t="n">
        <v>3</v>
      </c>
      <c r="F451" s="7">
        <f>A451&amp;B451&amp;"-"&amp;C451&amp;E451&amp;"-"&amp;D451</f>
        <v/>
      </c>
    </row>
    <row r="452">
      <c r="A452" s="6" t="inlineStr">
        <is>
          <t>R</t>
        </is>
      </c>
      <c r="B452" s="6" t="n">
        <v>3</v>
      </c>
      <c r="C452" s="6" t="inlineStr">
        <is>
          <t>G</t>
        </is>
      </c>
      <c r="D452" s="12" t="inlineStr">
        <is>
          <t>04</t>
        </is>
      </c>
      <c r="E452" s="7" t="n">
        <v>3</v>
      </c>
      <c r="F452" s="7">
        <f>A452&amp;B452&amp;"-"&amp;C452&amp;E452&amp;"-"&amp;D452</f>
        <v/>
      </c>
    </row>
    <row r="453">
      <c r="A453" s="6" t="inlineStr">
        <is>
          <t>R</t>
        </is>
      </c>
      <c r="B453" s="6" t="n">
        <v>3</v>
      </c>
      <c r="C453" s="6" t="inlineStr">
        <is>
          <t>G</t>
        </is>
      </c>
      <c r="D453" s="12" t="inlineStr">
        <is>
          <t>05</t>
        </is>
      </c>
      <c r="E453" s="7" t="n">
        <v>3</v>
      </c>
      <c r="F453" s="7">
        <f>A453&amp;B453&amp;"-"&amp;C453&amp;E453&amp;"-"&amp;D453</f>
        <v/>
      </c>
    </row>
    <row r="454">
      <c r="A454" s="6" t="inlineStr">
        <is>
          <t>R</t>
        </is>
      </c>
      <c r="B454" s="6" t="n">
        <v>3</v>
      </c>
      <c r="C454" s="6" t="inlineStr">
        <is>
          <t>G</t>
        </is>
      </c>
      <c r="D454" s="12" t="inlineStr">
        <is>
          <t>06</t>
        </is>
      </c>
      <c r="E454" s="7" t="n">
        <v>3</v>
      </c>
      <c r="F454" s="7">
        <f>A454&amp;B454&amp;"-"&amp;C454&amp;E454&amp;"-"&amp;D454</f>
        <v/>
      </c>
    </row>
    <row r="455">
      <c r="A455" s="6" t="inlineStr">
        <is>
          <t>R</t>
        </is>
      </c>
      <c r="B455" s="6" t="n">
        <v>3</v>
      </c>
      <c r="C455" s="6" t="inlineStr">
        <is>
          <t>G</t>
        </is>
      </c>
      <c r="D455" s="12" t="inlineStr">
        <is>
          <t>07</t>
        </is>
      </c>
      <c r="E455" s="7" t="n">
        <v>3</v>
      </c>
      <c r="F455" s="7">
        <f>A455&amp;B455&amp;"-"&amp;C455&amp;E455&amp;"-"&amp;D455</f>
        <v/>
      </c>
    </row>
    <row r="456">
      <c r="A456" s="6" t="inlineStr">
        <is>
          <t>R</t>
        </is>
      </c>
      <c r="B456" s="6" t="n">
        <v>3</v>
      </c>
      <c r="C456" s="6" t="inlineStr">
        <is>
          <t>G</t>
        </is>
      </c>
      <c r="D456" s="12" t="inlineStr">
        <is>
          <t>08</t>
        </is>
      </c>
      <c r="E456" s="7" t="n">
        <v>3</v>
      </c>
      <c r="F456" s="7">
        <f>A456&amp;B456&amp;"-"&amp;C456&amp;E456&amp;"-"&amp;D456</f>
        <v/>
      </c>
    </row>
    <row r="457">
      <c r="A457" s="6" t="inlineStr">
        <is>
          <t>R</t>
        </is>
      </c>
      <c r="B457" s="6" t="n">
        <v>3</v>
      </c>
      <c r="C457" s="6" t="inlineStr">
        <is>
          <t>G</t>
        </is>
      </c>
      <c r="D457" s="12" t="inlineStr">
        <is>
          <t>01</t>
        </is>
      </c>
      <c r="E457" s="7" t="n">
        <v>4</v>
      </c>
      <c r="F457" s="7">
        <f>A457&amp;B457&amp;"-"&amp;C457&amp;E457&amp;"-"&amp;D457</f>
        <v/>
      </c>
    </row>
    <row r="458">
      <c r="A458" s="6" t="inlineStr">
        <is>
          <t>R</t>
        </is>
      </c>
      <c r="B458" s="6" t="n">
        <v>3</v>
      </c>
      <c r="C458" s="6" t="inlineStr">
        <is>
          <t>G</t>
        </is>
      </c>
      <c r="D458" s="12" t="inlineStr">
        <is>
          <t>02</t>
        </is>
      </c>
      <c r="E458" s="7" t="n">
        <v>4</v>
      </c>
      <c r="F458" s="7">
        <f>A458&amp;B458&amp;"-"&amp;C458&amp;E458&amp;"-"&amp;D458</f>
        <v/>
      </c>
    </row>
    <row r="459">
      <c r="A459" s="6" t="inlineStr">
        <is>
          <t>R</t>
        </is>
      </c>
      <c r="B459" s="6" t="n">
        <v>3</v>
      </c>
      <c r="C459" s="6" t="inlineStr">
        <is>
          <t>G</t>
        </is>
      </c>
      <c r="D459" s="12" t="inlineStr">
        <is>
          <t>03</t>
        </is>
      </c>
      <c r="E459" s="7" t="n">
        <v>4</v>
      </c>
      <c r="F459" s="7">
        <f>A459&amp;B459&amp;"-"&amp;C459&amp;E459&amp;"-"&amp;D459</f>
        <v/>
      </c>
    </row>
    <row r="460">
      <c r="A460" s="6" t="inlineStr">
        <is>
          <t>R</t>
        </is>
      </c>
      <c r="B460" s="6" t="n">
        <v>3</v>
      </c>
      <c r="C460" s="6" t="inlineStr">
        <is>
          <t>G</t>
        </is>
      </c>
      <c r="D460" s="12" t="inlineStr">
        <is>
          <t>04</t>
        </is>
      </c>
      <c r="E460" s="7" t="n">
        <v>4</v>
      </c>
      <c r="F460" s="7">
        <f>A460&amp;B460&amp;"-"&amp;C460&amp;E460&amp;"-"&amp;D460</f>
        <v/>
      </c>
    </row>
    <row r="461">
      <c r="A461" s="6" t="inlineStr">
        <is>
          <t>R</t>
        </is>
      </c>
      <c r="B461" s="6" t="n">
        <v>3</v>
      </c>
      <c r="C461" s="6" t="inlineStr">
        <is>
          <t>G</t>
        </is>
      </c>
      <c r="D461" s="12" t="inlineStr">
        <is>
          <t>05</t>
        </is>
      </c>
      <c r="E461" s="7" t="n">
        <v>4</v>
      </c>
      <c r="F461" s="7">
        <f>A461&amp;B461&amp;"-"&amp;C461&amp;E461&amp;"-"&amp;D461</f>
        <v/>
      </c>
    </row>
    <row r="462">
      <c r="A462" s="6" t="inlineStr">
        <is>
          <t>R</t>
        </is>
      </c>
      <c r="B462" s="6" t="n">
        <v>3</v>
      </c>
      <c r="C462" s="6" t="inlineStr">
        <is>
          <t>G</t>
        </is>
      </c>
      <c r="D462" s="12" t="inlineStr">
        <is>
          <t>06</t>
        </is>
      </c>
      <c r="E462" s="7" t="n">
        <v>4</v>
      </c>
      <c r="F462" s="7">
        <f>A462&amp;B462&amp;"-"&amp;C462&amp;E462&amp;"-"&amp;D462</f>
        <v/>
      </c>
    </row>
    <row r="463">
      <c r="A463" s="6" t="inlineStr">
        <is>
          <t>R</t>
        </is>
      </c>
      <c r="B463" s="6" t="n">
        <v>3</v>
      </c>
      <c r="C463" s="6" t="inlineStr">
        <is>
          <t>G</t>
        </is>
      </c>
      <c r="D463" s="12" t="inlineStr">
        <is>
          <t>07</t>
        </is>
      </c>
      <c r="E463" s="7" t="n">
        <v>4</v>
      </c>
      <c r="F463" s="7">
        <f>A463&amp;B463&amp;"-"&amp;C463&amp;E463&amp;"-"&amp;D463</f>
        <v/>
      </c>
    </row>
    <row r="464">
      <c r="A464" s="6" t="inlineStr">
        <is>
          <t>R</t>
        </is>
      </c>
      <c r="B464" s="6" t="n">
        <v>3</v>
      </c>
      <c r="C464" s="6" t="inlineStr">
        <is>
          <t>G</t>
        </is>
      </c>
      <c r="D464" s="12" t="inlineStr">
        <is>
          <t>08</t>
        </is>
      </c>
      <c r="E464" s="7" t="n">
        <v>4</v>
      </c>
      <c r="F464" s="7">
        <f>A464&amp;B464&amp;"-"&amp;C464&amp;E464&amp;"-"&amp;D464</f>
        <v/>
      </c>
    </row>
    <row r="465">
      <c r="A465" s="8" t="inlineStr">
        <is>
          <t>R</t>
        </is>
      </c>
      <c r="B465" s="8" t="n">
        <v>3</v>
      </c>
      <c r="C465" s="8" t="inlineStr">
        <is>
          <t>G</t>
        </is>
      </c>
      <c r="D465" s="13" t="inlineStr">
        <is>
          <t>01</t>
        </is>
      </c>
      <c r="E465" s="9" t="inlineStr">
        <is>
          <t>M</t>
        </is>
      </c>
      <c r="F465" s="9">
        <f>A465&amp;B465&amp;"-"&amp;C465&amp;E465&amp;"-"&amp;D465</f>
        <v/>
      </c>
    </row>
    <row r="466">
      <c r="A466" s="8" t="inlineStr">
        <is>
          <t>R</t>
        </is>
      </c>
      <c r="B466" s="8" t="n">
        <v>3</v>
      </c>
      <c r="C466" s="21" t="inlineStr">
        <is>
          <t>H</t>
        </is>
      </c>
      <c r="D466" s="13" t="inlineStr">
        <is>
          <t>02</t>
        </is>
      </c>
      <c r="E466" s="9" t="inlineStr">
        <is>
          <t>M</t>
        </is>
      </c>
      <c r="F466" s="9">
        <f>A466&amp;B466&amp;"-"&amp;C466&amp;E466&amp;"-"&amp;D466</f>
        <v/>
      </c>
    </row>
    <row r="467">
      <c r="A467" s="6" t="inlineStr">
        <is>
          <t>R</t>
        </is>
      </c>
      <c r="B467" s="6" t="n">
        <v>3</v>
      </c>
      <c r="C467" s="6" t="inlineStr">
        <is>
          <t>H</t>
        </is>
      </c>
      <c r="D467" s="12" t="inlineStr">
        <is>
          <t>01</t>
        </is>
      </c>
      <c r="E467" s="7" t="n">
        <v>1</v>
      </c>
      <c r="F467" s="7">
        <f>A467&amp;B467&amp;"-"&amp;C467&amp;E467&amp;"-"&amp;D467</f>
        <v/>
      </c>
    </row>
    <row r="468">
      <c r="A468" s="6" t="inlineStr">
        <is>
          <t>R</t>
        </is>
      </c>
      <c r="B468" s="6" t="n">
        <v>3</v>
      </c>
      <c r="C468" s="6" t="inlineStr">
        <is>
          <t>H</t>
        </is>
      </c>
      <c r="D468" s="12" t="inlineStr">
        <is>
          <t>02</t>
        </is>
      </c>
      <c r="E468" s="7" t="n">
        <v>1</v>
      </c>
      <c r="F468" s="7">
        <f>A468&amp;B468&amp;"-"&amp;C468&amp;E468&amp;"-"&amp;D468</f>
        <v/>
      </c>
    </row>
    <row r="469">
      <c r="A469" s="6" t="inlineStr">
        <is>
          <t>R</t>
        </is>
      </c>
      <c r="B469" s="6" t="n">
        <v>3</v>
      </c>
      <c r="C469" s="6" t="inlineStr">
        <is>
          <t>H</t>
        </is>
      </c>
      <c r="D469" s="12" t="inlineStr">
        <is>
          <t>03</t>
        </is>
      </c>
      <c r="E469" s="7" t="n">
        <v>1</v>
      </c>
      <c r="F469" s="7">
        <f>A469&amp;B469&amp;"-"&amp;C469&amp;E469&amp;"-"&amp;D469</f>
        <v/>
      </c>
    </row>
    <row r="470">
      <c r="A470" s="6" t="inlineStr">
        <is>
          <t>R</t>
        </is>
      </c>
      <c r="B470" s="6" t="n">
        <v>3</v>
      </c>
      <c r="C470" s="14" t="inlineStr">
        <is>
          <t>H</t>
        </is>
      </c>
      <c r="D470" s="15" t="inlineStr">
        <is>
          <t>04</t>
        </is>
      </c>
      <c r="E470" s="16" t="n">
        <v>1</v>
      </c>
      <c r="F470" s="7">
        <f>A470&amp;B470&amp;"-"&amp;C470&amp;E470&amp;"-"&amp;D470</f>
        <v/>
      </c>
    </row>
    <row r="471">
      <c r="A471" s="6" t="inlineStr">
        <is>
          <t>R</t>
        </is>
      </c>
      <c r="B471" s="6" t="n">
        <v>3</v>
      </c>
      <c r="C471" s="14" t="inlineStr">
        <is>
          <t>H</t>
        </is>
      </c>
      <c r="D471" s="15" t="inlineStr">
        <is>
          <t>05</t>
        </is>
      </c>
      <c r="E471" s="16" t="n">
        <v>1</v>
      </c>
      <c r="F471" s="7">
        <f>A471&amp;B471&amp;"-"&amp;C471&amp;E471&amp;"-"&amp;D471</f>
        <v/>
      </c>
    </row>
    <row r="472">
      <c r="A472" s="6" t="inlineStr">
        <is>
          <t>R</t>
        </is>
      </c>
      <c r="B472" s="6" t="n">
        <v>3</v>
      </c>
      <c r="C472" s="6" t="inlineStr">
        <is>
          <t>H</t>
        </is>
      </c>
      <c r="D472" s="12" t="inlineStr">
        <is>
          <t>06</t>
        </is>
      </c>
      <c r="E472" s="7" t="n">
        <v>1</v>
      </c>
      <c r="F472" s="7">
        <f>A472&amp;B472&amp;"-"&amp;C472&amp;E472&amp;"-"&amp;D472</f>
        <v/>
      </c>
    </row>
    <row r="473">
      <c r="A473" s="6" t="inlineStr">
        <is>
          <t>R</t>
        </is>
      </c>
      <c r="B473" s="6" t="n">
        <v>3</v>
      </c>
      <c r="C473" s="6" t="inlineStr">
        <is>
          <t>H</t>
        </is>
      </c>
      <c r="D473" s="12" t="inlineStr">
        <is>
          <t>07</t>
        </is>
      </c>
      <c r="E473" s="7" t="n">
        <v>1</v>
      </c>
      <c r="F473" s="7">
        <f>A473&amp;B473&amp;"-"&amp;C473&amp;E473&amp;"-"&amp;D473</f>
        <v/>
      </c>
    </row>
    <row r="474">
      <c r="A474" s="6" t="inlineStr">
        <is>
          <t>R</t>
        </is>
      </c>
      <c r="B474" s="6" t="n">
        <v>3</v>
      </c>
      <c r="C474" s="6" t="inlineStr">
        <is>
          <t>H</t>
        </is>
      </c>
      <c r="D474" s="12" t="inlineStr">
        <is>
          <t>08</t>
        </is>
      </c>
      <c r="E474" s="7" t="n">
        <v>1</v>
      </c>
      <c r="F474" s="7">
        <f>A474&amp;B474&amp;"-"&amp;C474&amp;E474&amp;"-"&amp;D474</f>
        <v/>
      </c>
    </row>
    <row r="475">
      <c r="A475" s="6" t="inlineStr">
        <is>
          <t>R</t>
        </is>
      </c>
      <c r="B475" s="6" t="n">
        <v>3</v>
      </c>
      <c r="C475" s="6" t="inlineStr">
        <is>
          <t>H</t>
        </is>
      </c>
      <c r="D475" s="12" t="inlineStr">
        <is>
          <t>01</t>
        </is>
      </c>
      <c r="E475" s="7" t="n">
        <v>2</v>
      </c>
      <c r="F475" s="7">
        <f>A475&amp;B475&amp;"-"&amp;C475&amp;E475&amp;"-"&amp;D475</f>
        <v/>
      </c>
    </row>
    <row r="476">
      <c r="A476" s="6" t="inlineStr">
        <is>
          <t>R</t>
        </is>
      </c>
      <c r="B476" s="6" t="n">
        <v>3</v>
      </c>
      <c r="C476" s="6" t="inlineStr">
        <is>
          <t>H</t>
        </is>
      </c>
      <c r="D476" s="12" t="inlineStr">
        <is>
          <t>02</t>
        </is>
      </c>
      <c r="E476" s="7" t="n">
        <v>2</v>
      </c>
      <c r="F476" s="7">
        <f>A476&amp;B476&amp;"-"&amp;C476&amp;E476&amp;"-"&amp;D476</f>
        <v/>
      </c>
    </row>
    <row r="477">
      <c r="A477" s="6" t="inlineStr">
        <is>
          <t>R</t>
        </is>
      </c>
      <c r="B477" s="6" t="n">
        <v>3</v>
      </c>
      <c r="C477" s="6" t="inlineStr">
        <is>
          <t>H</t>
        </is>
      </c>
      <c r="D477" s="12" t="inlineStr">
        <is>
          <t>03</t>
        </is>
      </c>
      <c r="E477" s="7" t="n">
        <v>2</v>
      </c>
      <c r="F477" s="7">
        <f>A477&amp;B477&amp;"-"&amp;C477&amp;E477&amp;"-"&amp;D477</f>
        <v/>
      </c>
    </row>
    <row r="478">
      <c r="A478" s="6" t="inlineStr">
        <is>
          <t>R</t>
        </is>
      </c>
      <c r="B478" s="6" t="n">
        <v>3</v>
      </c>
      <c r="C478" s="6" t="inlineStr">
        <is>
          <t>H</t>
        </is>
      </c>
      <c r="D478" s="12" t="inlineStr">
        <is>
          <t>04</t>
        </is>
      </c>
      <c r="E478" s="7" t="n">
        <v>2</v>
      </c>
      <c r="F478" s="7">
        <f>A478&amp;B478&amp;"-"&amp;C478&amp;E478&amp;"-"&amp;D478</f>
        <v/>
      </c>
    </row>
    <row r="479">
      <c r="A479" s="6" t="inlineStr">
        <is>
          <t>R</t>
        </is>
      </c>
      <c r="B479" s="6" t="n">
        <v>3</v>
      </c>
      <c r="C479" s="6" t="inlineStr">
        <is>
          <t>H</t>
        </is>
      </c>
      <c r="D479" s="12" t="inlineStr">
        <is>
          <t>05</t>
        </is>
      </c>
      <c r="E479" s="7" t="n">
        <v>2</v>
      </c>
      <c r="F479" s="7">
        <f>A479&amp;B479&amp;"-"&amp;C479&amp;E479&amp;"-"&amp;D479</f>
        <v/>
      </c>
    </row>
    <row r="480">
      <c r="A480" s="6" t="inlineStr">
        <is>
          <t>R</t>
        </is>
      </c>
      <c r="B480" s="6" t="n">
        <v>3</v>
      </c>
      <c r="C480" s="6" t="inlineStr">
        <is>
          <t>H</t>
        </is>
      </c>
      <c r="D480" s="12" t="inlineStr">
        <is>
          <t>06</t>
        </is>
      </c>
      <c r="E480" s="7" t="n">
        <v>2</v>
      </c>
      <c r="F480" s="7">
        <f>A480&amp;B480&amp;"-"&amp;C480&amp;E480&amp;"-"&amp;D480</f>
        <v/>
      </c>
    </row>
    <row r="481">
      <c r="A481" s="6" t="inlineStr">
        <is>
          <t>R</t>
        </is>
      </c>
      <c r="B481" s="6" t="n">
        <v>3</v>
      </c>
      <c r="C481" s="6" t="inlineStr">
        <is>
          <t>H</t>
        </is>
      </c>
      <c r="D481" s="12" t="inlineStr">
        <is>
          <t>07</t>
        </is>
      </c>
      <c r="E481" s="7" t="n">
        <v>2</v>
      </c>
      <c r="F481" s="7">
        <f>A481&amp;B481&amp;"-"&amp;C481&amp;E481&amp;"-"&amp;D481</f>
        <v/>
      </c>
    </row>
    <row r="482">
      <c r="A482" s="6" t="inlineStr">
        <is>
          <t>R</t>
        </is>
      </c>
      <c r="B482" s="6" t="n">
        <v>3</v>
      </c>
      <c r="C482" s="6" t="inlineStr">
        <is>
          <t>H</t>
        </is>
      </c>
      <c r="D482" s="12" t="inlineStr">
        <is>
          <t>08</t>
        </is>
      </c>
      <c r="E482" s="7" t="n">
        <v>2</v>
      </c>
      <c r="F482" s="7">
        <f>A482&amp;B482&amp;"-"&amp;C482&amp;E482&amp;"-"&amp;D482</f>
        <v/>
      </c>
    </row>
    <row r="483">
      <c r="A483" s="6" t="inlineStr">
        <is>
          <t>R</t>
        </is>
      </c>
      <c r="B483" s="6" t="n">
        <v>3</v>
      </c>
      <c r="C483" s="6" t="inlineStr">
        <is>
          <t>H</t>
        </is>
      </c>
      <c r="D483" s="12" t="inlineStr">
        <is>
          <t>01</t>
        </is>
      </c>
      <c r="E483" s="7" t="n">
        <v>3</v>
      </c>
      <c r="F483" s="7">
        <f>A483&amp;B483&amp;"-"&amp;C483&amp;E483&amp;"-"&amp;D483</f>
        <v/>
      </c>
    </row>
    <row r="484">
      <c r="A484" s="6" t="inlineStr">
        <is>
          <t>R</t>
        </is>
      </c>
      <c r="B484" s="6" t="n">
        <v>3</v>
      </c>
      <c r="C484" s="6" t="inlineStr">
        <is>
          <t>H</t>
        </is>
      </c>
      <c r="D484" s="12" t="inlineStr">
        <is>
          <t>02</t>
        </is>
      </c>
      <c r="E484" s="7" t="n">
        <v>3</v>
      </c>
      <c r="F484" s="7">
        <f>A484&amp;B484&amp;"-"&amp;C484&amp;E484&amp;"-"&amp;D484</f>
        <v/>
      </c>
    </row>
    <row r="485">
      <c r="A485" s="6" t="inlineStr">
        <is>
          <t>R</t>
        </is>
      </c>
      <c r="B485" s="6" t="n">
        <v>3</v>
      </c>
      <c r="C485" s="6" t="inlineStr">
        <is>
          <t>H</t>
        </is>
      </c>
      <c r="D485" s="12" t="inlineStr">
        <is>
          <t>03</t>
        </is>
      </c>
      <c r="E485" s="7" t="n">
        <v>3</v>
      </c>
      <c r="F485" s="7">
        <f>A485&amp;B485&amp;"-"&amp;C485&amp;E485&amp;"-"&amp;D485</f>
        <v/>
      </c>
    </row>
    <row r="486">
      <c r="A486" s="6" t="inlineStr">
        <is>
          <t>R</t>
        </is>
      </c>
      <c r="B486" s="6" t="n">
        <v>3</v>
      </c>
      <c r="C486" s="6" t="inlineStr">
        <is>
          <t>H</t>
        </is>
      </c>
      <c r="D486" s="12" t="inlineStr">
        <is>
          <t>04</t>
        </is>
      </c>
      <c r="E486" s="7" t="n">
        <v>3</v>
      </c>
      <c r="F486" s="7">
        <f>A486&amp;B486&amp;"-"&amp;C486&amp;E486&amp;"-"&amp;D486</f>
        <v/>
      </c>
    </row>
    <row r="487">
      <c r="A487" s="6" t="inlineStr">
        <is>
          <t>R</t>
        </is>
      </c>
      <c r="B487" s="6" t="n">
        <v>3</v>
      </c>
      <c r="C487" s="6" t="inlineStr">
        <is>
          <t>H</t>
        </is>
      </c>
      <c r="D487" s="12" t="inlineStr">
        <is>
          <t>05</t>
        </is>
      </c>
      <c r="E487" s="7" t="n">
        <v>3</v>
      </c>
      <c r="F487" s="7">
        <f>A487&amp;B487&amp;"-"&amp;C487&amp;E487&amp;"-"&amp;D487</f>
        <v/>
      </c>
    </row>
    <row r="488">
      <c r="A488" s="6" t="inlineStr">
        <is>
          <t>R</t>
        </is>
      </c>
      <c r="B488" s="6" t="n">
        <v>3</v>
      </c>
      <c r="C488" s="6" t="inlineStr">
        <is>
          <t>H</t>
        </is>
      </c>
      <c r="D488" s="12" t="inlineStr">
        <is>
          <t>06</t>
        </is>
      </c>
      <c r="E488" s="7" t="n">
        <v>3</v>
      </c>
      <c r="F488" s="7">
        <f>A488&amp;B488&amp;"-"&amp;C488&amp;E488&amp;"-"&amp;D488</f>
        <v/>
      </c>
    </row>
    <row r="489">
      <c r="A489" s="6" t="inlineStr">
        <is>
          <t>R</t>
        </is>
      </c>
      <c r="B489" s="6" t="n">
        <v>3</v>
      </c>
      <c r="C489" s="6" t="inlineStr">
        <is>
          <t>H</t>
        </is>
      </c>
      <c r="D489" s="12" t="inlineStr">
        <is>
          <t>01</t>
        </is>
      </c>
      <c r="E489" s="7" t="n">
        <v>4</v>
      </c>
      <c r="F489" s="7">
        <f>A489&amp;B489&amp;"-"&amp;C489&amp;E489&amp;"-"&amp;D489</f>
        <v/>
      </c>
    </row>
    <row r="490">
      <c r="A490" s="6" t="inlineStr">
        <is>
          <t>R</t>
        </is>
      </c>
      <c r="B490" s="6" t="n">
        <v>3</v>
      </c>
      <c r="C490" s="6" t="inlineStr">
        <is>
          <t>H</t>
        </is>
      </c>
      <c r="D490" s="12" t="inlineStr">
        <is>
          <t>02</t>
        </is>
      </c>
      <c r="E490" s="7" t="n">
        <v>4</v>
      </c>
      <c r="F490" s="7">
        <f>A490&amp;B490&amp;"-"&amp;C490&amp;E490&amp;"-"&amp;D490</f>
        <v/>
      </c>
    </row>
    <row r="491">
      <c r="A491" s="6" t="inlineStr">
        <is>
          <t>R</t>
        </is>
      </c>
      <c r="B491" s="6" t="n">
        <v>3</v>
      </c>
      <c r="C491" s="6" t="inlineStr">
        <is>
          <t>H</t>
        </is>
      </c>
      <c r="D491" s="12" t="inlineStr">
        <is>
          <t>03</t>
        </is>
      </c>
      <c r="E491" s="7" t="n">
        <v>4</v>
      </c>
      <c r="F491" s="7">
        <f>A491&amp;B491&amp;"-"&amp;C491&amp;E491&amp;"-"&amp;D491</f>
        <v/>
      </c>
    </row>
    <row r="492">
      <c r="A492" s="6" t="inlineStr">
        <is>
          <t>R</t>
        </is>
      </c>
      <c r="B492" s="6" t="n">
        <v>3</v>
      </c>
      <c r="C492" s="6" t="inlineStr">
        <is>
          <t>H</t>
        </is>
      </c>
      <c r="D492" s="12" t="inlineStr">
        <is>
          <t>04</t>
        </is>
      </c>
      <c r="E492" s="7" t="n">
        <v>4</v>
      </c>
      <c r="F492" s="7">
        <f>A492&amp;B492&amp;"-"&amp;C492&amp;E492&amp;"-"&amp;D492</f>
        <v/>
      </c>
    </row>
    <row r="493">
      <c r="A493" s="6" t="inlineStr">
        <is>
          <t>R</t>
        </is>
      </c>
      <c r="B493" s="6" t="n">
        <v>3</v>
      </c>
      <c r="C493" s="6" t="inlineStr">
        <is>
          <t>H</t>
        </is>
      </c>
      <c r="D493" s="12" t="inlineStr">
        <is>
          <t>05</t>
        </is>
      </c>
      <c r="E493" s="7" t="n">
        <v>4</v>
      </c>
      <c r="F493" s="7">
        <f>A493&amp;B493&amp;"-"&amp;C493&amp;E493&amp;"-"&amp;D493</f>
        <v/>
      </c>
    </row>
    <row r="494">
      <c r="A494" s="6" t="inlineStr">
        <is>
          <t>R</t>
        </is>
      </c>
      <c r="B494" s="6" t="n">
        <v>3</v>
      </c>
      <c r="C494" s="6" t="inlineStr">
        <is>
          <t>H</t>
        </is>
      </c>
      <c r="D494" s="12" t="inlineStr">
        <is>
          <t>06</t>
        </is>
      </c>
      <c r="E494" s="7" t="n">
        <v>4</v>
      </c>
      <c r="F494" s="7">
        <f>A494&amp;B494&amp;"-"&amp;C494&amp;E494&amp;"-"&amp;D494</f>
        <v/>
      </c>
    </row>
    <row r="495">
      <c r="A495" s="6" t="inlineStr">
        <is>
          <t>R</t>
        </is>
      </c>
      <c r="B495" s="6" t="n">
        <v>4</v>
      </c>
      <c r="C495" s="7" t="inlineStr">
        <is>
          <t>E</t>
        </is>
      </c>
      <c r="D495" s="12" t="inlineStr">
        <is>
          <t>01</t>
        </is>
      </c>
      <c r="E495" s="7" t="n">
        <v>1</v>
      </c>
      <c r="F495" s="7">
        <f>A495&amp;B495&amp;"-"&amp;C495&amp;E495&amp;"-"&amp;D495</f>
        <v/>
      </c>
    </row>
    <row r="496">
      <c r="A496" s="6" t="inlineStr">
        <is>
          <t>R</t>
        </is>
      </c>
      <c r="B496" s="6" t="n">
        <v>4</v>
      </c>
      <c r="C496" s="7" t="inlineStr">
        <is>
          <t>E</t>
        </is>
      </c>
      <c r="D496" s="12" t="inlineStr">
        <is>
          <t>02</t>
        </is>
      </c>
      <c r="E496" s="7" t="n">
        <v>1</v>
      </c>
      <c r="F496" s="7">
        <f>A496&amp;B496&amp;"-"&amp;C496&amp;E496&amp;"-"&amp;D496</f>
        <v/>
      </c>
    </row>
    <row r="497">
      <c r="A497" s="6" t="inlineStr">
        <is>
          <t>R</t>
        </is>
      </c>
      <c r="B497" s="6" t="n">
        <v>4</v>
      </c>
      <c r="C497" s="7" t="inlineStr">
        <is>
          <t>E</t>
        </is>
      </c>
      <c r="D497" s="12" t="inlineStr">
        <is>
          <t>03</t>
        </is>
      </c>
      <c r="E497" s="7" t="n">
        <v>1</v>
      </c>
      <c r="F497" s="7">
        <f>A497&amp;B497&amp;"-"&amp;C497&amp;E497&amp;"-"&amp;D497</f>
        <v/>
      </c>
    </row>
    <row r="498">
      <c r="A498" s="6" t="inlineStr">
        <is>
          <t>R</t>
        </is>
      </c>
      <c r="B498" s="6" t="n">
        <v>4</v>
      </c>
      <c r="C498" s="7" t="inlineStr">
        <is>
          <t>E</t>
        </is>
      </c>
      <c r="D498" s="12" t="inlineStr">
        <is>
          <t>04</t>
        </is>
      </c>
      <c r="E498" s="7" t="n">
        <v>1</v>
      </c>
      <c r="F498" s="7">
        <f>A498&amp;B498&amp;"-"&amp;C498&amp;E498&amp;"-"&amp;D498</f>
        <v/>
      </c>
    </row>
    <row r="499">
      <c r="A499" s="6" t="inlineStr">
        <is>
          <t>R</t>
        </is>
      </c>
      <c r="B499" s="6" t="n">
        <v>4</v>
      </c>
      <c r="C499" s="7" t="inlineStr">
        <is>
          <t>E</t>
        </is>
      </c>
      <c r="D499" s="12" t="inlineStr">
        <is>
          <t>01</t>
        </is>
      </c>
      <c r="E499" s="7" t="n">
        <v>2</v>
      </c>
      <c r="F499" s="7">
        <f>A499&amp;B499&amp;"-"&amp;C499&amp;E499&amp;"-"&amp;D499</f>
        <v/>
      </c>
    </row>
    <row r="500">
      <c r="A500" s="6" t="inlineStr">
        <is>
          <t>R</t>
        </is>
      </c>
      <c r="B500" s="6" t="n">
        <v>4</v>
      </c>
      <c r="C500" s="7" t="inlineStr">
        <is>
          <t>E</t>
        </is>
      </c>
      <c r="D500" s="12" t="inlineStr">
        <is>
          <t>02</t>
        </is>
      </c>
      <c r="E500" s="7" t="n">
        <v>2</v>
      </c>
      <c r="F500" s="7">
        <f>A500&amp;B500&amp;"-"&amp;C500&amp;E500&amp;"-"&amp;D500</f>
        <v/>
      </c>
    </row>
    <row r="501">
      <c r="A501" s="6" t="inlineStr">
        <is>
          <t>R</t>
        </is>
      </c>
      <c r="B501" s="6" t="n">
        <v>4</v>
      </c>
      <c r="C501" s="7" t="inlineStr">
        <is>
          <t>E</t>
        </is>
      </c>
      <c r="D501" s="12" t="inlineStr">
        <is>
          <t>03</t>
        </is>
      </c>
      <c r="E501" s="7" t="n">
        <v>2</v>
      </c>
      <c r="F501" s="7">
        <f>A501&amp;B501&amp;"-"&amp;C501&amp;E501&amp;"-"&amp;D501</f>
        <v/>
      </c>
    </row>
    <row r="502">
      <c r="A502" s="6" t="inlineStr">
        <is>
          <t>R</t>
        </is>
      </c>
      <c r="B502" s="6" t="n">
        <v>4</v>
      </c>
      <c r="C502" s="7" t="inlineStr">
        <is>
          <t>E</t>
        </is>
      </c>
      <c r="D502" s="12" t="inlineStr">
        <is>
          <t>04</t>
        </is>
      </c>
      <c r="E502" s="7" t="n">
        <v>2</v>
      </c>
      <c r="F502" s="7">
        <f>A502&amp;B502&amp;"-"&amp;C502&amp;E502&amp;"-"&amp;D502</f>
        <v/>
      </c>
    </row>
    <row r="503">
      <c r="A503" s="6" t="inlineStr">
        <is>
          <t>R</t>
        </is>
      </c>
      <c r="B503" s="6" t="n">
        <v>4</v>
      </c>
      <c r="C503" s="7" t="inlineStr">
        <is>
          <t>E</t>
        </is>
      </c>
      <c r="D503" s="12" t="inlineStr">
        <is>
          <t>05</t>
        </is>
      </c>
      <c r="E503" s="7" t="n">
        <v>2</v>
      </c>
      <c r="F503" s="7">
        <f>A503&amp;B503&amp;"-"&amp;C503&amp;E503&amp;"-"&amp;D503</f>
        <v/>
      </c>
    </row>
    <row r="504">
      <c r="A504" s="6" t="inlineStr">
        <is>
          <t>R</t>
        </is>
      </c>
      <c r="B504" s="6" t="n">
        <v>4</v>
      </c>
      <c r="C504" s="7" t="inlineStr">
        <is>
          <t>E</t>
        </is>
      </c>
      <c r="D504" s="12" t="inlineStr">
        <is>
          <t>06</t>
        </is>
      </c>
      <c r="E504" s="7" t="n">
        <v>2</v>
      </c>
      <c r="F504" s="7">
        <f>A504&amp;B504&amp;"-"&amp;C504&amp;E504&amp;"-"&amp;D504</f>
        <v/>
      </c>
    </row>
    <row r="505">
      <c r="A505" s="6" t="inlineStr">
        <is>
          <t>R</t>
        </is>
      </c>
      <c r="B505" s="6" t="n">
        <v>4</v>
      </c>
      <c r="C505" s="7" t="inlineStr">
        <is>
          <t>E</t>
        </is>
      </c>
      <c r="D505" s="12" t="inlineStr">
        <is>
          <t>01</t>
        </is>
      </c>
      <c r="E505" s="7" t="n">
        <v>3</v>
      </c>
      <c r="F505" s="7">
        <f>A505&amp;B505&amp;"-"&amp;C505&amp;E505&amp;"-"&amp;D505</f>
        <v/>
      </c>
    </row>
    <row r="506">
      <c r="A506" s="6" t="inlineStr">
        <is>
          <t>R</t>
        </is>
      </c>
      <c r="B506" s="6" t="n">
        <v>4</v>
      </c>
      <c r="C506" s="7" t="inlineStr">
        <is>
          <t>E</t>
        </is>
      </c>
      <c r="D506" s="12" t="inlineStr">
        <is>
          <t>02</t>
        </is>
      </c>
      <c r="E506" s="7" t="n">
        <v>3</v>
      </c>
      <c r="F506" s="7">
        <f>A506&amp;B506&amp;"-"&amp;C506&amp;E506&amp;"-"&amp;D506</f>
        <v/>
      </c>
    </row>
    <row r="507">
      <c r="A507" s="6" t="inlineStr">
        <is>
          <t>R</t>
        </is>
      </c>
      <c r="B507" s="6" t="n">
        <v>4</v>
      </c>
      <c r="C507" s="7" t="inlineStr">
        <is>
          <t>E</t>
        </is>
      </c>
      <c r="D507" s="12" t="inlineStr">
        <is>
          <t>03</t>
        </is>
      </c>
      <c r="E507" s="7" t="n">
        <v>3</v>
      </c>
      <c r="F507" s="7">
        <f>A507&amp;B507&amp;"-"&amp;C507&amp;E507&amp;"-"&amp;D507</f>
        <v/>
      </c>
    </row>
    <row r="508">
      <c r="A508" s="6" t="inlineStr">
        <is>
          <t>R</t>
        </is>
      </c>
      <c r="B508" s="6" t="n">
        <v>4</v>
      </c>
      <c r="C508" s="7" t="inlineStr">
        <is>
          <t>E</t>
        </is>
      </c>
      <c r="D508" s="12" t="inlineStr">
        <is>
          <t>04</t>
        </is>
      </c>
      <c r="E508" s="7" t="n">
        <v>3</v>
      </c>
      <c r="F508" s="7">
        <f>A508&amp;B508&amp;"-"&amp;C508&amp;E508&amp;"-"&amp;D508</f>
        <v/>
      </c>
    </row>
    <row r="509">
      <c r="A509" s="6" t="inlineStr">
        <is>
          <t>R</t>
        </is>
      </c>
      <c r="B509" s="6" t="n">
        <v>4</v>
      </c>
      <c r="C509" s="7" t="inlineStr">
        <is>
          <t>E</t>
        </is>
      </c>
      <c r="D509" s="12" t="inlineStr">
        <is>
          <t>05</t>
        </is>
      </c>
      <c r="E509" s="7" t="n">
        <v>3</v>
      </c>
      <c r="F509" s="7">
        <f>A509&amp;B509&amp;"-"&amp;C509&amp;E509&amp;"-"&amp;D509</f>
        <v/>
      </c>
    </row>
    <row r="510">
      <c r="A510" s="6" t="inlineStr">
        <is>
          <t>R</t>
        </is>
      </c>
      <c r="B510" s="6" t="n">
        <v>4</v>
      </c>
      <c r="C510" s="7" t="inlineStr">
        <is>
          <t>E</t>
        </is>
      </c>
      <c r="D510" s="12" t="inlineStr">
        <is>
          <t>06</t>
        </is>
      </c>
      <c r="E510" s="7" t="n">
        <v>3</v>
      </c>
      <c r="F510" s="7">
        <f>A510&amp;B510&amp;"-"&amp;C510&amp;E510&amp;"-"&amp;D510</f>
        <v/>
      </c>
    </row>
    <row r="511">
      <c r="A511" s="6" t="inlineStr">
        <is>
          <t>R</t>
        </is>
      </c>
      <c r="B511" s="6" t="n">
        <v>4</v>
      </c>
      <c r="C511" s="7" t="inlineStr">
        <is>
          <t>E</t>
        </is>
      </c>
      <c r="D511" s="12" t="inlineStr">
        <is>
          <t>01</t>
        </is>
      </c>
      <c r="E511" s="7" t="n">
        <v>4</v>
      </c>
      <c r="F511" s="7">
        <f>A511&amp;B511&amp;"-"&amp;C511&amp;E511&amp;"-"&amp;D511</f>
        <v/>
      </c>
    </row>
    <row r="512">
      <c r="A512" s="6" t="inlineStr">
        <is>
          <t>R</t>
        </is>
      </c>
      <c r="B512" s="6" t="n">
        <v>4</v>
      </c>
      <c r="C512" s="7" t="inlineStr">
        <is>
          <t>E</t>
        </is>
      </c>
      <c r="D512" s="12" t="inlineStr">
        <is>
          <t>02</t>
        </is>
      </c>
      <c r="E512" s="7" t="n">
        <v>4</v>
      </c>
      <c r="F512" s="7">
        <f>A512&amp;B512&amp;"-"&amp;C512&amp;E512&amp;"-"&amp;D512</f>
        <v/>
      </c>
    </row>
    <row r="513">
      <c r="A513" s="6" t="inlineStr">
        <is>
          <t>R</t>
        </is>
      </c>
      <c r="B513" s="6" t="n">
        <v>4</v>
      </c>
      <c r="C513" s="7" t="inlineStr">
        <is>
          <t>E</t>
        </is>
      </c>
      <c r="D513" s="12" t="inlineStr">
        <is>
          <t>03</t>
        </is>
      </c>
      <c r="E513" s="7" t="n">
        <v>4</v>
      </c>
      <c r="F513" s="7">
        <f>A513&amp;B513&amp;"-"&amp;C513&amp;E513&amp;"-"&amp;D513</f>
        <v/>
      </c>
    </row>
    <row r="514">
      <c r="A514" s="6" t="inlineStr">
        <is>
          <t>R</t>
        </is>
      </c>
      <c r="B514" s="6" t="n">
        <v>4</v>
      </c>
      <c r="C514" s="7" t="inlineStr">
        <is>
          <t>E</t>
        </is>
      </c>
      <c r="D514" s="12" t="inlineStr">
        <is>
          <t>04</t>
        </is>
      </c>
      <c r="E514" s="7" t="n">
        <v>4</v>
      </c>
      <c r="F514" s="7">
        <f>A514&amp;B514&amp;"-"&amp;C514&amp;E514&amp;"-"&amp;D514</f>
        <v/>
      </c>
    </row>
    <row r="515">
      <c r="A515" s="6" t="inlineStr">
        <is>
          <t>R</t>
        </is>
      </c>
      <c r="B515" s="6" t="n">
        <v>4</v>
      </c>
      <c r="C515" s="7" t="inlineStr">
        <is>
          <t>E</t>
        </is>
      </c>
      <c r="D515" s="12" t="inlineStr">
        <is>
          <t>05</t>
        </is>
      </c>
      <c r="E515" s="7" t="n">
        <v>4</v>
      </c>
      <c r="F515" s="7">
        <f>A515&amp;B515&amp;"-"&amp;C515&amp;E515&amp;"-"&amp;D515</f>
        <v/>
      </c>
    </row>
    <row r="516">
      <c r="A516" s="6" t="inlineStr">
        <is>
          <t>R</t>
        </is>
      </c>
      <c r="B516" s="6" t="n">
        <v>4</v>
      </c>
      <c r="C516" s="7" t="inlineStr">
        <is>
          <t>E</t>
        </is>
      </c>
      <c r="D516" s="12" t="inlineStr">
        <is>
          <t>06</t>
        </is>
      </c>
      <c r="E516" s="7" t="n">
        <v>4</v>
      </c>
      <c r="F516" s="7">
        <f>A516&amp;B516&amp;"-"&amp;C516&amp;E516&amp;"-"&amp;D516</f>
        <v/>
      </c>
    </row>
    <row r="517">
      <c r="A517" s="6" t="inlineStr">
        <is>
          <t>R</t>
        </is>
      </c>
      <c r="B517" s="6" t="n">
        <v>4</v>
      </c>
      <c r="C517" s="7" t="inlineStr">
        <is>
          <t>F</t>
        </is>
      </c>
      <c r="D517" s="12" t="inlineStr">
        <is>
          <t>01</t>
        </is>
      </c>
      <c r="E517" s="7" t="n">
        <v>1</v>
      </c>
      <c r="F517" s="7">
        <f>A517&amp;B517&amp;"-"&amp;C517&amp;E517&amp;"-"&amp;D517</f>
        <v/>
      </c>
    </row>
    <row r="518">
      <c r="A518" s="6" t="inlineStr">
        <is>
          <t>R</t>
        </is>
      </c>
      <c r="B518" s="6" t="n">
        <v>4</v>
      </c>
      <c r="C518" s="7" t="inlineStr">
        <is>
          <t>F</t>
        </is>
      </c>
      <c r="D518" s="12" t="inlineStr">
        <is>
          <t>02</t>
        </is>
      </c>
      <c r="E518" s="7" t="n">
        <v>1</v>
      </c>
      <c r="F518" s="7">
        <f>A518&amp;B518&amp;"-"&amp;C518&amp;E518&amp;"-"&amp;D518</f>
        <v/>
      </c>
    </row>
    <row r="519">
      <c r="A519" s="6" t="inlineStr">
        <is>
          <t>R</t>
        </is>
      </c>
      <c r="B519" s="6" t="n">
        <v>4</v>
      </c>
      <c r="C519" s="7" t="inlineStr">
        <is>
          <t>F</t>
        </is>
      </c>
      <c r="D519" s="12" t="inlineStr">
        <is>
          <t>03</t>
        </is>
      </c>
      <c r="E519" s="7" t="n">
        <v>1</v>
      </c>
      <c r="F519" s="7">
        <f>A519&amp;B519&amp;"-"&amp;C519&amp;E519&amp;"-"&amp;D519</f>
        <v/>
      </c>
    </row>
    <row r="520">
      <c r="A520" s="6" t="inlineStr">
        <is>
          <t>R</t>
        </is>
      </c>
      <c r="B520" s="6" t="n">
        <v>4</v>
      </c>
      <c r="C520" s="7" t="inlineStr">
        <is>
          <t>F</t>
        </is>
      </c>
      <c r="D520" s="12" t="inlineStr">
        <is>
          <t>04</t>
        </is>
      </c>
      <c r="E520" s="7" t="n">
        <v>1</v>
      </c>
      <c r="F520" s="7">
        <f>A520&amp;B520&amp;"-"&amp;C520&amp;E520&amp;"-"&amp;D520</f>
        <v/>
      </c>
    </row>
    <row r="521">
      <c r="A521" s="6" t="inlineStr">
        <is>
          <t>R</t>
        </is>
      </c>
      <c r="B521" s="6" t="n">
        <v>4</v>
      </c>
      <c r="C521" s="7" t="inlineStr">
        <is>
          <t>F</t>
        </is>
      </c>
      <c r="D521" s="12" t="inlineStr">
        <is>
          <t>05</t>
        </is>
      </c>
      <c r="E521" s="7" t="n">
        <v>1</v>
      </c>
      <c r="F521" s="7">
        <f>A521&amp;B521&amp;"-"&amp;C521&amp;E521&amp;"-"&amp;D521</f>
        <v/>
      </c>
    </row>
    <row r="522">
      <c r="A522" s="6" t="inlineStr">
        <is>
          <t>R</t>
        </is>
      </c>
      <c r="B522" s="6" t="n">
        <v>4</v>
      </c>
      <c r="C522" s="7" t="inlineStr">
        <is>
          <t>F</t>
        </is>
      </c>
      <c r="D522" s="12" t="inlineStr">
        <is>
          <t>06</t>
        </is>
      </c>
      <c r="E522" s="7" t="n">
        <v>1</v>
      </c>
      <c r="F522" s="7">
        <f>A522&amp;B522&amp;"-"&amp;C522&amp;E522&amp;"-"&amp;D522</f>
        <v/>
      </c>
    </row>
    <row r="523">
      <c r="A523" s="6" t="inlineStr">
        <is>
          <t>R</t>
        </is>
      </c>
      <c r="B523" s="6" t="n">
        <v>4</v>
      </c>
      <c r="C523" s="7" t="inlineStr">
        <is>
          <t>F</t>
        </is>
      </c>
      <c r="D523" s="12" t="inlineStr">
        <is>
          <t>07</t>
        </is>
      </c>
      <c r="E523" s="7" t="n">
        <v>1</v>
      </c>
      <c r="F523" s="7">
        <f>A523&amp;B523&amp;"-"&amp;C523&amp;E523&amp;"-"&amp;D523</f>
        <v/>
      </c>
    </row>
    <row r="524">
      <c r="A524" s="6" t="inlineStr">
        <is>
          <t>R</t>
        </is>
      </c>
      <c r="B524" s="6" t="n">
        <v>4</v>
      </c>
      <c r="C524" s="7" t="inlineStr">
        <is>
          <t>F</t>
        </is>
      </c>
      <c r="D524" s="12" t="inlineStr">
        <is>
          <t>08</t>
        </is>
      </c>
      <c r="E524" s="7" t="n">
        <v>1</v>
      </c>
      <c r="F524" s="7">
        <f>A524&amp;B524&amp;"-"&amp;C524&amp;E524&amp;"-"&amp;D524</f>
        <v/>
      </c>
    </row>
    <row r="525">
      <c r="A525" s="6" t="inlineStr">
        <is>
          <t>R</t>
        </is>
      </c>
      <c r="B525" s="6" t="n">
        <v>4</v>
      </c>
      <c r="C525" s="7" t="inlineStr">
        <is>
          <t>F</t>
        </is>
      </c>
      <c r="D525" s="12" t="inlineStr">
        <is>
          <t>01</t>
        </is>
      </c>
      <c r="E525" s="7" t="n">
        <v>2</v>
      </c>
      <c r="F525" s="7">
        <f>A525&amp;B525&amp;"-"&amp;C525&amp;E525&amp;"-"&amp;D525</f>
        <v/>
      </c>
    </row>
    <row r="526">
      <c r="A526" s="6" t="inlineStr">
        <is>
          <t>R</t>
        </is>
      </c>
      <c r="B526" s="6" t="n">
        <v>4</v>
      </c>
      <c r="C526" s="7" t="inlineStr">
        <is>
          <t>F</t>
        </is>
      </c>
      <c r="D526" s="12" t="inlineStr">
        <is>
          <t>02</t>
        </is>
      </c>
      <c r="E526" s="7" t="n">
        <v>2</v>
      </c>
      <c r="F526" s="7">
        <f>A526&amp;B526&amp;"-"&amp;C526&amp;E526&amp;"-"&amp;D526</f>
        <v/>
      </c>
    </row>
    <row r="527">
      <c r="A527" s="6" t="inlineStr">
        <is>
          <t>R</t>
        </is>
      </c>
      <c r="B527" s="6" t="n">
        <v>4</v>
      </c>
      <c r="C527" s="7" t="inlineStr">
        <is>
          <t>F</t>
        </is>
      </c>
      <c r="D527" s="12" t="inlineStr">
        <is>
          <t>03</t>
        </is>
      </c>
      <c r="E527" s="7" t="n">
        <v>2</v>
      </c>
      <c r="F527" s="7">
        <f>A527&amp;B527&amp;"-"&amp;C527&amp;E527&amp;"-"&amp;D527</f>
        <v/>
      </c>
    </row>
    <row r="528">
      <c r="A528" s="6" t="inlineStr">
        <is>
          <t>R</t>
        </is>
      </c>
      <c r="B528" s="6" t="n">
        <v>4</v>
      </c>
      <c r="C528" s="7" t="inlineStr">
        <is>
          <t>F</t>
        </is>
      </c>
      <c r="D528" s="12" t="inlineStr">
        <is>
          <t>04</t>
        </is>
      </c>
      <c r="E528" s="7" t="n">
        <v>2</v>
      </c>
      <c r="F528" s="7">
        <f>A528&amp;B528&amp;"-"&amp;C528&amp;E528&amp;"-"&amp;D528</f>
        <v/>
      </c>
    </row>
    <row r="529">
      <c r="A529" s="6" t="inlineStr">
        <is>
          <t>R</t>
        </is>
      </c>
      <c r="B529" s="6" t="n">
        <v>4</v>
      </c>
      <c r="C529" s="7" t="inlineStr">
        <is>
          <t>F</t>
        </is>
      </c>
      <c r="D529" s="12" t="inlineStr">
        <is>
          <t>05</t>
        </is>
      </c>
      <c r="E529" s="7" t="n">
        <v>2</v>
      </c>
      <c r="F529" s="7">
        <f>A529&amp;B529&amp;"-"&amp;C529&amp;E529&amp;"-"&amp;D529</f>
        <v/>
      </c>
    </row>
    <row r="530">
      <c r="A530" s="6" t="inlineStr">
        <is>
          <t>R</t>
        </is>
      </c>
      <c r="B530" s="6" t="n">
        <v>4</v>
      </c>
      <c r="C530" s="7" t="inlineStr">
        <is>
          <t>F</t>
        </is>
      </c>
      <c r="D530" s="12" t="inlineStr">
        <is>
          <t>06</t>
        </is>
      </c>
      <c r="E530" s="7" t="n">
        <v>2</v>
      </c>
      <c r="F530" s="7">
        <f>A530&amp;B530&amp;"-"&amp;C530&amp;E530&amp;"-"&amp;D530</f>
        <v/>
      </c>
    </row>
    <row r="531">
      <c r="A531" s="6" t="inlineStr">
        <is>
          <t>R</t>
        </is>
      </c>
      <c r="B531" s="6" t="n">
        <v>4</v>
      </c>
      <c r="C531" s="7" t="inlineStr">
        <is>
          <t>F</t>
        </is>
      </c>
      <c r="D531" s="12" t="inlineStr">
        <is>
          <t>01</t>
        </is>
      </c>
      <c r="E531" s="7" t="n">
        <v>3</v>
      </c>
      <c r="F531" s="7">
        <f>A531&amp;B531&amp;"-"&amp;C531&amp;E531&amp;"-"&amp;D531</f>
        <v/>
      </c>
    </row>
    <row r="532">
      <c r="A532" s="6" t="inlineStr">
        <is>
          <t>R</t>
        </is>
      </c>
      <c r="B532" s="6" t="n">
        <v>4</v>
      </c>
      <c r="C532" s="7" t="inlineStr">
        <is>
          <t>F</t>
        </is>
      </c>
      <c r="D532" s="12" t="inlineStr">
        <is>
          <t>02</t>
        </is>
      </c>
      <c r="E532" s="7" t="n">
        <v>3</v>
      </c>
      <c r="F532" s="7">
        <f>A532&amp;B532&amp;"-"&amp;C532&amp;E532&amp;"-"&amp;D532</f>
        <v/>
      </c>
    </row>
    <row r="533">
      <c r="A533" s="6" t="inlineStr">
        <is>
          <t>R</t>
        </is>
      </c>
      <c r="B533" s="6" t="n">
        <v>4</v>
      </c>
      <c r="C533" s="7" t="inlineStr">
        <is>
          <t>F</t>
        </is>
      </c>
      <c r="D533" s="12" t="inlineStr">
        <is>
          <t>03</t>
        </is>
      </c>
      <c r="E533" s="7" t="n">
        <v>3</v>
      </c>
      <c r="F533" s="7">
        <f>A533&amp;B533&amp;"-"&amp;C533&amp;E533&amp;"-"&amp;D533</f>
        <v/>
      </c>
    </row>
    <row r="534">
      <c r="A534" s="6" t="inlineStr">
        <is>
          <t>R</t>
        </is>
      </c>
      <c r="B534" s="6" t="n">
        <v>4</v>
      </c>
      <c r="C534" s="7" t="inlineStr">
        <is>
          <t>F</t>
        </is>
      </c>
      <c r="D534" s="12" t="inlineStr">
        <is>
          <t>04</t>
        </is>
      </c>
      <c r="E534" s="7" t="n">
        <v>3</v>
      </c>
      <c r="F534" s="7">
        <f>A534&amp;B534&amp;"-"&amp;C534&amp;E534&amp;"-"&amp;D534</f>
        <v/>
      </c>
    </row>
    <row r="535">
      <c r="A535" s="6" t="inlineStr">
        <is>
          <t>R</t>
        </is>
      </c>
      <c r="B535" s="6" t="n">
        <v>4</v>
      </c>
      <c r="C535" s="7" t="inlineStr">
        <is>
          <t>F</t>
        </is>
      </c>
      <c r="D535" s="12" t="inlineStr">
        <is>
          <t>05</t>
        </is>
      </c>
      <c r="E535" s="7" t="n">
        <v>3</v>
      </c>
      <c r="F535" s="7">
        <f>A535&amp;B535&amp;"-"&amp;C535&amp;E535&amp;"-"&amp;D535</f>
        <v/>
      </c>
    </row>
    <row r="536">
      <c r="A536" s="6" t="inlineStr">
        <is>
          <t>R</t>
        </is>
      </c>
      <c r="B536" s="6" t="n">
        <v>4</v>
      </c>
      <c r="C536" s="7" t="inlineStr">
        <is>
          <t>F</t>
        </is>
      </c>
      <c r="D536" s="12" t="inlineStr">
        <is>
          <t>06</t>
        </is>
      </c>
      <c r="E536" s="7" t="n">
        <v>3</v>
      </c>
      <c r="F536" s="7">
        <f>A536&amp;B536&amp;"-"&amp;C536&amp;E536&amp;"-"&amp;D536</f>
        <v/>
      </c>
    </row>
    <row r="537">
      <c r="A537" s="6" t="inlineStr">
        <is>
          <t>R</t>
        </is>
      </c>
      <c r="B537" s="6" t="n">
        <v>4</v>
      </c>
      <c r="C537" s="7" t="inlineStr">
        <is>
          <t>F</t>
        </is>
      </c>
      <c r="D537" s="12" t="inlineStr">
        <is>
          <t>01</t>
        </is>
      </c>
      <c r="E537" s="7" t="n">
        <v>4</v>
      </c>
      <c r="F537" s="7">
        <f>A537&amp;B537&amp;"-"&amp;C537&amp;E537&amp;"-"&amp;D537</f>
        <v/>
      </c>
    </row>
    <row r="538">
      <c r="A538" s="6" t="inlineStr">
        <is>
          <t>R</t>
        </is>
      </c>
      <c r="B538" s="6" t="n">
        <v>4</v>
      </c>
      <c r="C538" s="7" t="inlineStr">
        <is>
          <t>F</t>
        </is>
      </c>
      <c r="D538" s="12" t="inlineStr">
        <is>
          <t>02</t>
        </is>
      </c>
      <c r="E538" s="7" t="n">
        <v>4</v>
      </c>
      <c r="F538" s="7">
        <f>A538&amp;B538&amp;"-"&amp;C538&amp;E538&amp;"-"&amp;D538</f>
        <v/>
      </c>
    </row>
    <row r="539">
      <c r="A539" s="6" t="inlineStr">
        <is>
          <t>R</t>
        </is>
      </c>
      <c r="B539" s="6" t="n">
        <v>4</v>
      </c>
      <c r="C539" s="7" t="inlineStr">
        <is>
          <t>F</t>
        </is>
      </c>
      <c r="D539" s="12" t="inlineStr">
        <is>
          <t>03</t>
        </is>
      </c>
      <c r="E539" s="7" t="n">
        <v>4</v>
      </c>
      <c r="F539" s="7">
        <f>A539&amp;B539&amp;"-"&amp;C539&amp;E539&amp;"-"&amp;D539</f>
        <v/>
      </c>
    </row>
    <row r="540">
      <c r="A540" s="6" t="inlineStr">
        <is>
          <t>R</t>
        </is>
      </c>
      <c r="B540" s="6" t="n">
        <v>4</v>
      </c>
      <c r="C540" s="7" t="inlineStr">
        <is>
          <t>F</t>
        </is>
      </c>
      <c r="D540" s="12" t="inlineStr">
        <is>
          <t>04</t>
        </is>
      </c>
      <c r="E540" s="7" t="n">
        <v>4</v>
      </c>
      <c r="F540" s="7">
        <f>A540&amp;B540&amp;"-"&amp;C540&amp;E540&amp;"-"&amp;D540</f>
        <v/>
      </c>
    </row>
    <row r="541">
      <c r="A541" s="6" t="inlineStr">
        <is>
          <t>R</t>
        </is>
      </c>
      <c r="B541" s="6" t="n">
        <v>4</v>
      </c>
      <c r="C541" s="7" t="inlineStr">
        <is>
          <t>F</t>
        </is>
      </c>
      <c r="D541" s="12" t="inlineStr">
        <is>
          <t>05</t>
        </is>
      </c>
      <c r="E541" s="7" t="n">
        <v>4</v>
      </c>
      <c r="F541" s="7">
        <f>A541&amp;B541&amp;"-"&amp;C541&amp;E541&amp;"-"&amp;D541</f>
        <v/>
      </c>
    </row>
    <row r="542">
      <c r="A542" s="6" t="inlineStr">
        <is>
          <t>R</t>
        </is>
      </c>
      <c r="B542" s="6" t="n">
        <v>4</v>
      </c>
      <c r="C542" s="7" t="inlineStr">
        <is>
          <t>F</t>
        </is>
      </c>
      <c r="D542" s="12" t="inlineStr">
        <is>
          <t>06</t>
        </is>
      </c>
      <c r="E542" s="7" t="n">
        <v>4</v>
      </c>
      <c r="F542" s="7">
        <f>A542&amp;B542&amp;"-"&amp;C542&amp;E542&amp;"-"&amp;D542</f>
        <v/>
      </c>
    </row>
    <row r="543">
      <c r="A543" s="6" t="inlineStr">
        <is>
          <t>R</t>
        </is>
      </c>
      <c r="B543" s="6" t="n">
        <v>4</v>
      </c>
      <c r="C543" s="7" t="inlineStr">
        <is>
          <t>F</t>
        </is>
      </c>
      <c r="D543" s="12" t="inlineStr">
        <is>
          <t>07</t>
        </is>
      </c>
      <c r="E543" s="7" t="n">
        <v>4</v>
      </c>
      <c r="F543" s="7">
        <f>A543&amp;B543&amp;"-"&amp;C543&amp;E543&amp;"-"&amp;D543</f>
        <v/>
      </c>
    </row>
    <row r="544">
      <c r="A544" s="6" t="inlineStr">
        <is>
          <t>R</t>
        </is>
      </c>
      <c r="B544" s="6" t="n">
        <v>4</v>
      </c>
      <c r="C544" s="7" t="inlineStr">
        <is>
          <t>F</t>
        </is>
      </c>
      <c r="D544" s="12" t="inlineStr">
        <is>
          <t>08</t>
        </is>
      </c>
      <c r="E544" s="7" t="n">
        <v>4</v>
      </c>
      <c r="F544" s="7">
        <f>A544&amp;B544&amp;"-"&amp;C544&amp;E544&amp;"-"&amp;D544</f>
        <v/>
      </c>
    </row>
    <row r="545">
      <c r="A545" s="8" t="inlineStr">
        <is>
          <t>R</t>
        </is>
      </c>
      <c r="B545" s="8" t="n">
        <v>4</v>
      </c>
      <c r="C545" s="9" t="inlineStr">
        <is>
          <t>F</t>
        </is>
      </c>
      <c r="D545" s="13" t="inlineStr">
        <is>
          <t>03</t>
        </is>
      </c>
      <c r="E545" s="9" t="inlineStr">
        <is>
          <t>M</t>
        </is>
      </c>
      <c r="F545" s="9">
        <f>A545&amp;B545&amp;"-"&amp;C545&amp;E545&amp;"-"&amp;D545</f>
        <v/>
      </c>
    </row>
    <row r="546">
      <c r="A546" s="6" t="inlineStr">
        <is>
          <t>R</t>
        </is>
      </c>
      <c r="B546" s="6" t="n">
        <v>4</v>
      </c>
      <c r="C546" s="6" t="inlineStr">
        <is>
          <t>G</t>
        </is>
      </c>
      <c r="D546" s="12" t="inlineStr">
        <is>
          <t>01</t>
        </is>
      </c>
      <c r="E546" s="7" t="n">
        <v>1</v>
      </c>
      <c r="F546" s="7">
        <f>A546&amp;B546&amp;"-"&amp;C546&amp;E546&amp;"-"&amp;D546</f>
        <v/>
      </c>
    </row>
    <row r="547">
      <c r="A547" s="6" t="inlineStr">
        <is>
          <t>R</t>
        </is>
      </c>
      <c r="B547" s="6" t="n">
        <v>4</v>
      </c>
      <c r="C547" s="6" t="inlineStr">
        <is>
          <t>G</t>
        </is>
      </c>
      <c r="D547" s="12" t="inlineStr">
        <is>
          <t>02</t>
        </is>
      </c>
      <c r="E547" s="7" t="n">
        <v>1</v>
      </c>
      <c r="F547" s="7">
        <f>A547&amp;B547&amp;"-"&amp;C547&amp;E547&amp;"-"&amp;D547</f>
        <v/>
      </c>
    </row>
    <row r="548">
      <c r="A548" s="6" t="inlineStr">
        <is>
          <t>R</t>
        </is>
      </c>
      <c r="B548" s="6" t="n">
        <v>4</v>
      </c>
      <c r="C548" s="6" t="inlineStr">
        <is>
          <t>G</t>
        </is>
      </c>
      <c r="D548" s="12" t="inlineStr">
        <is>
          <t>03</t>
        </is>
      </c>
      <c r="E548" s="7" t="n">
        <v>1</v>
      </c>
      <c r="F548" s="7">
        <f>A548&amp;B548&amp;"-"&amp;C548&amp;E548&amp;"-"&amp;D548</f>
        <v/>
      </c>
    </row>
    <row r="549">
      <c r="A549" s="6" t="inlineStr">
        <is>
          <t>R</t>
        </is>
      </c>
      <c r="B549" s="6" t="n">
        <v>4</v>
      </c>
      <c r="C549" s="6" t="inlineStr">
        <is>
          <t>G</t>
        </is>
      </c>
      <c r="D549" s="12" t="inlineStr">
        <is>
          <t>04</t>
        </is>
      </c>
      <c r="E549" s="7" t="n">
        <v>1</v>
      </c>
      <c r="F549" s="7">
        <f>A549&amp;B549&amp;"-"&amp;C549&amp;E549&amp;"-"&amp;D549</f>
        <v/>
      </c>
    </row>
    <row r="550">
      <c r="A550" s="6" t="inlineStr">
        <is>
          <t>R</t>
        </is>
      </c>
      <c r="B550" s="6" t="n">
        <v>4</v>
      </c>
      <c r="C550" s="6" t="inlineStr">
        <is>
          <t>G</t>
        </is>
      </c>
      <c r="D550" s="12" t="inlineStr">
        <is>
          <t>05</t>
        </is>
      </c>
      <c r="E550" s="7" t="n">
        <v>1</v>
      </c>
      <c r="F550" s="7">
        <f>A550&amp;B550&amp;"-"&amp;C550&amp;E550&amp;"-"&amp;D550</f>
        <v/>
      </c>
    </row>
    <row r="551">
      <c r="A551" s="6" t="inlineStr">
        <is>
          <t>R</t>
        </is>
      </c>
      <c r="B551" s="6" t="n">
        <v>4</v>
      </c>
      <c r="C551" s="6" t="inlineStr">
        <is>
          <t>G</t>
        </is>
      </c>
      <c r="D551" s="12" t="inlineStr">
        <is>
          <t>06</t>
        </is>
      </c>
      <c r="E551" s="7" t="n">
        <v>1</v>
      </c>
      <c r="F551" s="7">
        <f>A551&amp;B551&amp;"-"&amp;C551&amp;E551&amp;"-"&amp;D551</f>
        <v/>
      </c>
    </row>
    <row r="552">
      <c r="A552" s="6" t="inlineStr">
        <is>
          <t>R</t>
        </is>
      </c>
      <c r="B552" s="6" t="n">
        <v>4</v>
      </c>
      <c r="C552" s="6" t="inlineStr">
        <is>
          <t>G</t>
        </is>
      </c>
      <c r="D552" s="12" t="inlineStr">
        <is>
          <t>01</t>
        </is>
      </c>
      <c r="E552" s="7" t="n">
        <v>2</v>
      </c>
      <c r="F552" s="7">
        <f>A552&amp;B552&amp;"-"&amp;C552&amp;E552&amp;"-"&amp;D552</f>
        <v/>
      </c>
    </row>
    <row r="553">
      <c r="A553" s="6" t="inlineStr">
        <is>
          <t>R</t>
        </is>
      </c>
      <c r="B553" s="6" t="n">
        <v>4</v>
      </c>
      <c r="C553" s="6" t="inlineStr">
        <is>
          <t>G</t>
        </is>
      </c>
      <c r="D553" s="12" t="inlineStr">
        <is>
          <t>02</t>
        </is>
      </c>
      <c r="E553" s="7" t="n">
        <v>2</v>
      </c>
      <c r="F553" s="7">
        <f>A553&amp;B553&amp;"-"&amp;C553&amp;E553&amp;"-"&amp;D553</f>
        <v/>
      </c>
    </row>
    <row r="554">
      <c r="A554" s="6" t="inlineStr">
        <is>
          <t>R</t>
        </is>
      </c>
      <c r="B554" s="6" t="n">
        <v>4</v>
      </c>
      <c r="C554" s="6" t="inlineStr">
        <is>
          <t>G</t>
        </is>
      </c>
      <c r="D554" s="12" t="inlineStr">
        <is>
          <t>03</t>
        </is>
      </c>
      <c r="E554" s="7" t="n">
        <v>2</v>
      </c>
      <c r="F554" s="7">
        <f>A554&amp;B554&amp;"-"&amp;C554&amp;E554&amp;"-"&amp;D554</f>
        <v/>
      </c>
    </row>
    <row r="555">
      <c r="A555" s="6" t="inlineStr">
        <is>
          <t>R</t>
        </is>
      </c>
      <c r="B555" s="6" t="n">
        <v>4</v>
      </c>
      <c r="C555" s="6" t="inlineStr">
        <is>
          <t>G</t>
        </is>
      </c>
      <c r="D555" s="12" t="inlineStr">
        <is>
          <t>04</t>
        </is>
      </c>
      <c r="E555" s="7" t="n">
        <v>2</v>
      </c>
      <c r="F555" s="7">
        <f>A555&amp;B555&amp;"-"&amp;C555&amp;E555&amp;"-"&amp;D555</f>
        <v/>
      </c>
    </row>
    <row r="556">
      <c r="A556" s="6" t="inlineStr">
        <is>
          <t>R</t>
        </is>
      </c>
      <c r="B556" s="6" t="n">
        <v>4</v>
      </c>
      <c r="C556" s="6" t="inlineStr">
        <is>
          <t>G</t>
        </is>
      </c>
      <c r="D556" s="12" t="inlineStr">
        <is>
          <t>01</t>
        </is>
      </c>
      <c r="E556" s="7" t="n">
        <v>3</v>
      </c>
      <c r="F556" s="7">
        <f>A556&amp;B556&amp;"-"&amp;C556&amp;E556&amp;"-"&amp;D556</f>
        <v/>
      </c>
    </row>
    <row r="557">
      <c r="A557" s="6" t="inlineStr">
        <is>
          <t>R</t>
        </is>
      </c>
      <c r="B557" s="6" t="n">
        <v>4</v>
      </c>
      <c r="C557" s="6" t="inlineStr">
        <is>
          <t>G</t>
        </is>
      </c>
      <c r="D557" s="12" t="inlineStr">
        <is>
          <t>02</t>
        </is>
      </c>
      <c r="E557" s="7" t="n">
        <v>3</v>
      </c>
      <c r="F557" s="7">
        <f>A557&amp;B557&amp;"-"&amp;C557&amp;E557&amp;"-"&amp;D557</f>
        <v/>
      </c>
    </row>
    <row r="558">
      <c r="A558" s="6" t="inlineStr">
        <is>
          <t>R</t>
        </is>
      </c>
      <c r="B558" s="6" t="n">
        <v>4</v>
      </c>
      <c r="C558" s="6" t="inlineStr">
        <is>
          <t>G</t>
        </is>
      </c>
      <c r="D558" s="12" t="inlineStr">
        <is>
          <t>03</t>
        </is>
      </c>
      <c r="E558" s="7" t="n">
        <v>3</v>
      </c>
      <c r="F558" s="7">
        <f>A558&amp;B558&amp;"-"&amp;C558&amp;E558&amp;"-"&amp;D558</f>
        <v/>
      </c>
    </row>
    <row r="559">
      <c r="A559" s="6" t="inlineStr">
        <is>
          <t>R</t>
        </is>
      </c>
      <c r="B559" s="6" t="n">
        <v>4</v>
      </c>
      <c r="C559" s="6" t="inlineStr">
        <is>
          <t>G</t>
        </is>
      </c>
      <c r="D559" s="12" t="inlineStr">
        <is>
          <t>04</t>
        </is>
      </c>
      <c r="E559" s="7" t="n">
        <v>3</v>
      </c>
      <c r="F559" s="7">
        <f>A559&amp;B559&amp;"-"&amp;C559&amp;E559&amp;"-"&amp;D559</f>
        <v/>
      </c>
    </row>
    <row r="560">
      <c r="A560" s="6" t="inlineStr">
        <is>
          <t>R</t>
        </is>
      </c>
      <c r="B560" s="6" t="n">
        <v>4</v>
      </c>
      <c r="C560" s="6" t="inlineStr">
        <is>
          <t>G</t>
        </is>
      </c>
      <c r="D560" s="12" t="inlineStr">
        <is>
          <t>05</t>
        </is>
      </c>
      <c r="E560" s="7" t="n">
        <v>3</v>
      </c>
      <c r="F560" s="7">
        <f>A560&amp;B560&amp;"-"&amp;C560&amp;E560&amp;"-"&amp;D560</f>
        <v/>
      </c>
    </row>
    <row r="561">
      <c r="A561" s="6" t="inlineStr">
        <is>
          <t>R</t>
        </is>
      </c>
      <c r="B561" s="6" t="n">
        <v>4</v>
      </c>
      <c r="C561" s="6" t="inlineStr">
        <is>
          <t>G</t>
        </is>
      </c>
      <c r="D561" s="12" t="inlineStr">
        <is>
          <t>06</t>
        </is>
      </c>
      <c r="E561" s="7" t="n">
        <v>3</v>
      </c>
      <c r="F561" s="7">
        <f>A561&amp;B561&amp;"-"&amp;C561&amp;E561&amp;"-"&amp;D561</f>
        <v/>
      </c>
    </row>
    <row r="562">
      <c r="A562" s="6" t="inlineStr">
        <is>
          <t>R</t>
        </is>
      </c>
      <c r="B562" s="6" t="n">
        <v>4</v>
      </c>
      <c r="C562" s="6" t="inlineStr">
        <is>
          <t>G</t>
        </is>
      </c>
      <c r="D562" s="12" t="inlineStr">
        <is>
          <t>07</t>
        </is>
      </c>
      <c r="E562" s="7" t="n">
        <v>3</v>
      </c>
      <c r="F562" s="7">
        <f>A562&amp;B562&amp;"-"&amp;C562&amp;E562&amp;"-"&amp;D562</f>
        <v/>
      </c>
    </row>
    <row r="563">
      <c r="A563" s="6" t="inlineStr">
        <is>
          <t>R</t>
        </is>
      </c>
      <c r="B563" s="6" t="n">
        <v>4</v>
      </c>
      <c r="C563" s="6" t="inlineStr">
        <is>
          <t>G</t>
        </is>
      </c>
      <c r="D563" s="12" t="inlineStr">
        <is>
          <t>08</t>
        </is>
      </c>
      <c r="E563" s="7" t="n">
        <v>3</v>
      </c>
      <c r="F563" s="7">
        <f>A563&amp;B563&amp;"-"&amp;C563&amp;E563&amp;"-"&amp;D563</f>
        <v/>
      </c>
    </row>
    <row r="564">
      <c r="A564" s="6" t="inlineStr">
        <is>
          <t>R</t>
        </is>
      </c>
      <c r="B564" s="6" t="n">
        <v>4</v>
      </c>
      <c r="C564" s="6" t="inlineStr">
        <is>
          <t>G</t>
        </is>
      </c>
      <c r="D564" s="12" t="inlineStr">
        <is>
          <t>01</t>
        </is>
      </c>
      <c r="E564" s="7" t="n">
        <v>4</v>
      </c>
      <c r="F564" s="7">
        <f>A564&amp;B564&amp;"-"&amp;C564&amp;E564&amp;"-"&amp;D564</f>
        <v/>
      </c>
    </row>
    <row r="565">
      <c r="A565" s="6" t="inlineStr">
        <is>
          <t>R</t>
        </is>
      </c>
      <c r="B565" s="6" t="n">
        <v>4</v>
      </c>
      <c r="C565" s="6" t="inlineStr">
        <is>
          <t>G</t>
        </is>
      </c>
      <c r="D565" s="12" t="inlineStr">
        <is>
          <t>02</t>
        </is>
      </c>
      <c r="E565" s="7" t="n">
        <v>4</v>
      </c>
      <c r="F565" s="7">
        <f>A565&amp;B565&amp;"-"&amp;C565&amp;E565&amp;"-"&amp;D565</f>
        <v/>
      </c>
    </row>
    <row r="566">
      <c r="A566" s="6" t="inlineStr">
        <is>
          <t>R</t>
        </is>
      </c>
      <c r="B566" s="6" t="n">
        <v>4</v>
      </c>
      <c r="C566" s="6" t="inlineStr">
        <is>
          <t>G</t>
        </is>
      </c>
      <c r="D566" s="12" t="inlineStr">
        <is>
          <t>03</t>
        </is>
      </c>
      <c r="E566" s="7" t="n">
        <v>4</v>
      </c>
      <c r="F566" s="7">
        <f>A566&amp;B566&amp;"-"&amp;C566&amp;E566&amp;"-"&amp;D566</f>
        <v/>
      </c>
    </row>
    <row r="567">
      <c r="A567" s="6" t="inlineStr">
        <is>
          <t>R</t>
        </is>
      </c>
      <c r="B567" s="6" t="n">
        <v>4</v>
      </c>
      <c r="C567" s="6" t="inlineStr">
        <is>
          <t>G</t>
        </is>
      </c>
      <c r="D567" s="12" t="inlineStr">
        <is>
          <t>04</t>
        </is>
      </c>
      <c r="E567" s="7" t="n">
        <v>4</v>
      </c>
      <c r="F567" s="7">
        <f>A567&amp;B567&amp;"-"&amp;C567&amp;E567&amp;"-"&amp;D567</f>
        <v/>
      </c>
    </row>
    <row r="568">
      <c r="A568" s="6" t="inlineStr">
        <is>
          <t>R</t>
        </is>
      </c>
      <c r="B568" s="6" t="n">
        <v>4</v>
      </c>
      <c r="C568" s="6" t="inlineStr">
        <is>
          <t>G</t>
        </is>
      </c>
      <c r="D568" s="12" t="inlineStr">
        <is>
          <t>05</t>
        </is>
      </c>
      <c r="E568" s="7" t="n">
        <v>4</v>
      </c>
      <c r="F568" s="7">
        <f>A568&amp;B568&amp;"-"&amp;C568&amp;E568&amp;"-"&amp;D568</f>
        <v/>
      </c>
    </row>
    <row r="569">
      <c r="A569" s="6" t="inlineStr">
        <is>
          <t>R</t>
        </is>
      </c>
      <c r="B569" s="6" t="n">
        <v>4</v>
      </c>
      <c r="C569" s="6" t="inlineStr">
        <is>
          <t>G</t>
        </is>
      </c>
      <c r="D569" s="12" t="inlineStr">
        <is>
          <t>06</t>
        </is>
      </c>
      <c r="E569" s="7" t="n">
        <v>4</v>
      </c>
      <c r="F569" s="7">
        <f>A569&amp;B569&amp;"-"&amp;C569&amp;E569&amp;"-"&amp;D569</f>
        <v/>
      </c>
    </row>
    <row r="570">
      <c r="A570" s="6" t="inlineStr">
        <is>
          <t>R</t>
        </is>
      </c>
      <c r="B570" s="6" t="n">
        <v>4</v>
      </c>
      <c r="C570" s="6" t="inlineStr">
        <is>
          <t>G</t>
        </is>
      </c>
      <c r="D570" s="12" t="inlineStr">
        <is>
          <t>07</t>
        </is>
      </c>
      <c r="E570" s="7" t="n">
        <v>4</v>
      </c>
      <c r="F570" s="7">
        <f>A570&amp;B570&amp;"-"&amp;C570&amp;E570&amp;"-"&amp;D570</f>
        <v/>
      </c>
    </row>
    <row r="571">
      <c r="A571" s="6" t="inlineStr">
        <is>
          <t>R</t>
        </is>
      </c>
      <c r="B571" s="6" t="n">
        <v>4</v>
      </c>
      <c r="C571" s="6" t="inlineStr">
        <is>
          <t>G</t>
        </is>
      </c>
      <c r="D571" s="12" t="inlineStr">
        <is>
          <t>08</t>
        </is>
      </c>
      <c r="E571" s="7" t="n">
        <v>4</v>
      </c>
      <c r="F571" s="7">
        <f>A571&amp;B571&amp;"-"&amp;C571&amp;E571&amp;"-"&amp;D571</f>
        <v/>
      </c>
    </row>
    <row r="572">
      <c r="A572" s="8" t="inlineStr">
        <is>
          <t>R</t>
        </is>
      </c>
      <c r="B572" s="8" t="n">
        <v>4</v>
      </c>
      <c r="C572" s="8" t="inlineStr">
        <is>
          <t>G</t>
        </is>
      </c>
      <c r="D572" s="13" t="inlineStr">
        <is>
          <t>01</t>
        </is>
      </c>
      <c r="E572" s="9" t="inlineStr">
        <is>
          <t>M</t>
        </is>
      </c>
      <c r="F572" s="9">
        <f>A572&amp;B572&amp;"-"&amp;C572&amp;E572&amp;"-"&amp;D572</f>
        <v/>
      </c>
    </row>
    <row r="573">
      <c r="A573" s="8" t="inlineStr">
        <is>
          <t>R</t>
        </is>
      </c>
      <c r="B573" s="8" t="n">
        <v>4</v>
      </c>
      <c r="C573" s="21" t="inlineStr">
        <is>
          <t>H</t>
        </is>
      </c>
      <c r="D573" s="13" t="inlineStr">
        <is>
          <t>02</t>
        </is>
      </c>
      <c r="E573" s="9" t="inlineStr">
        <is>
          <t>M</t>
        </is>
      </c>
      <c r="F573" s="9">
        <f>A573&amp;B573&amp;"-"&amp;C573&amp;E573&amp;"-"&amp;D573</f>
        <v/>
      </c>
    </row>
    <row r="574">
      <c r="A574" s="6" t="inlineStr">
        <is>
          <t>R</t>
        </is>
      </c>
      <c r="B574" s="6" t="n">
        <v>4</v>
      </c>
      <c r="C574" s="6" t="inlineStr">
        <is>
          <t>H</t>
        </is>
      </c>
      <c r="D574" s="12" t="inlineStr">
        <is>
          <t>01</t>
        </is>
      </c>
      <c r="E574" s="7" t="n">
        <v>1</v>
      </c>
      <c r="F574" s="7">
        <f>A574&amp;B574&amp;"-"&amp;C574&amp;E574&amp;"-"&amp;D574</f>
        <v/>
      </c>
    </row>
    <row r="575">
      <c r="A575" s="6" t="inlineStr">
        <is>
          <t>R</t>
        </is>
      </c>
      <c r="B575" s="6" t="n">
        <v>4</v>
      </c>
      <c r="C575" s="6" t="inlineStr">
        <is>
          <t>H</t>
        </is>
      </c>
      <c r="D575" s="12" t="inlineStr">
        <is>
          <t>02</t>
        </is>
      </c>
      <c r="E575" s="7" t="n">
        <v>1</v>
      </c>
      <c r="F575" s="7">
        <f>A575&amp;B575&amp;"-"&amp;C575&amp;E575&amp;"-"&amp;D575</f>
        <v/>
      </c>
    </row>
    <row r="576">
      <c r="A576" s="6" t="inlineStr">
        <is>
          <t>R</t>
        </is>
      </c>
      <c r="B576" s="6" t="n">
        <v>4</v>
      </c>
      <c r="C576" s="6" t="inlineStr">
        <is>
          <t>H</t>
        </is>
      </c>
      <c r="D576" s="12" t="inlineStr">
        <is>
          <t>03</t>
        </is>
      </c>
      <c r="E576" s="7" t="n">
        <v>1</v>
      </c>
      <c r="F576" s="7">
        <f>A576&amp;B576&amp;"-"&amp;C576&amp;E576&amp;"-"&amp;D576</f>
        <v/>
      </c>
    </row>
    <row r="577">
      <c r="A577" s="6" t="inlineStr">
        <is>
          <t>R</t>
        </is>
      </c>
      <c r="B577" s="6" t="n">
        <v>4</v>
      </c>
      <c r="C577" s="14" t="inlineStr">
        <is>
          <t>H</t>
        </is>
      </c>
      <c r="D577" s="15" t="inlineStr">
        <is>
          <t>04</t>
        </is>
      </c>
      <c r="E577" s="16" t="n">
        <v>1</v>
      </c>
      <c r="F577" s="7">
        <f>A577&amp;B577&amp;"-"&amp;C577&amp;E577&amp;"-"&amp;D577</f>
        <v/>
      </c>
    </row>
    <row r="578">
      <c r="A578" s="6" t="inlineStr">
        <is>
          <t>R</t>
        </is>
      </c>
      <c r="B578" s="6" t="n">
        <v>4</v>
      </c>
      <c r="C578" s="14" t="inlineStr">
        <is>
          <t>H</t>
        </is>
      </c>
      <c r="D578" s="15" t="inlineStr">
        <is>
          <t>05</t>
        </is>
      </c>
      <c r="E578" s="16" t="n">
        <v>1</v>
      </c>
      <c r="F578" s="7">
        <f>A578&amp;B578&amp;"-"&amp;C578&amp;E578&amp;"-"&amp;D578</f>
        <v/>
      </c>
    </row>
    <row r="579">
      <c r="A579" s="6" t="inlineStr">
        <is>
          <t>R</t>
        </is>
      </c>
      <c r="B579" s="6" t="n">
        <v>4</v>
      </c>
      <c r="C579" s="6" t="inlineStr">
        <is>
          <t>H</t>
        </is>
      </c>
      <c r="D579" s="12" t="inlineStr">
        <is>
          <t>06</t>
        </is>
      </c>
      <c r="E579" s="7" t="n">
        <v>1</v>
      </c>
      <c r="F579" s="7">
        <f>A579&amp;B579&amp;"-"&amp;C579&amp;E579&amp;"-"&amp;D579</f>
        <v/>
      </c>
    </row>
    <row r="580">
      <c r="A580" s="6" t="inlineStr">
        <is>
          <t>R</t>
        </is>
      </c>
      <c r="B580" s="6" t="n">
        <v>4</v>
      </c>
      <c r="C580" s="6" t="inlineStr">
        <is>
          <t>H</t>
        </is>
      </c>
      <c r="D580" s="12" t="inlineStr">
        <is>
          <t>07</t>
        </is>
      </c>
      <c r="E580" s="7" t="n">
        <v>1</v>
      </c>
      <c r="F580" s="7">
        <f>A580&amp;B580&amp;"-"&amp;C580&amp;E580&amp;"-"&amp;D580</f>
        <v/>
      </c>
    </row>
    <row r="581">
      <c r="A581" s="6" t="inlineStr">
        <is>
          <t>R</t>
        </is>
      </c>
      <c r="B581" s="6" t="n">
        <v>4</v>
      </c>
      <c r="C581" s="6" t="inlineStr">
        <is>
          <t>H</t>
        </is>
      </c>
      <c r="D581" s="12" t="inlineStr">
        <is>
          <t>08</t>
        </is>
      </c>
      <c r="E581" s="7" t="n">
        <v>1</v>
      </c>
      <c r="F581" s="7">
        <f>A581&amp;B581&amp;"-"&amp;C581&amp;E581&amp;"-"&amp;D581</f>
        <v/>
      </c>
    </row>
    <row r="582">
      <c r="A582" s="6" t="inlineStr">
        <is>
          <t>R</t>
        </is>
      </c>
      <c r="B582" s="6" t="n">
        <v>4</v>
      </c>
      <c r="C582" s="6" t="inlineStr">
        <is>
          <t>H</t>
        </is>
      </c>
      <c r="D582" s="12" t="inlineStr">
        <is>
          <t>01</t>
        </is>
      </c>
      <c r="E582" s="7" t="n">
        <v>2</v>
      </c>
      <c r="F582" s="7">
        <f>A582&amp;B582&amp;"-"&amp;C582&amp;E582&amp;"-"&amp;D582</f>
        <v/>
      </c>
    </row>
    <row r="583">
      <c r="A583" s="6" t="inlineStr">
        <is>
          <t>R</t>
        </is>
      </c>
      <c r="B583" s="6" t="n">
        <v>4</v>
      </c>
      <c r="C583" s="6" t="inlineStr">
        <is>
          <t>H</t>
        </is>
      </c>
      <c r="D583" s="12" t="inlineStr">
        <is>
          <t>02</t>
        </is>
      </c>
      <c r="E583" s="7" t="n">
        <v>2</v>
      </c>
      <c r="F583" s="7">
        <f>A583&amp;B583&amp;"-"&amp;C583&amp;E583&amp;"-"&amp;D583</f>
        <v/>
      </c>
    </row>
    <row r="584">
      <c r="A584" s="6" t="inlineStr">
        <is>
          <t>R</t>
        </is>
      </c>
      <c r="B584" s="6" t="n">
        <v>4</v>
      </c>
      <c r="C584" s="6" t="inlineStr">
        <is>
          <t>H</t>
        </is>
      </c>
      <c r="D584" s="12" t="inlineStr">
        <is>
          <t>03</t>
        </is>
      </c>
      <c r="E584" s="7" t="n">
        <v>2</v>
      </c>
      <c r="F584" s="7">
        <f>A584&amp;B584&amp;"-"&amp;C584&amp;E584&amp;"-"&amp;D584</f>
        <v/>
      </c>
    </row>
    <row r="585">
      <c r="A585" s="6" t="inlineStr">
        <is>
          <t>R</t>
        </is>
      </c>
      <c r="B585" s="6" t="n">
        <v>4</v>
      </c>
      <c r="C585" s="6" t="inlineStr">
        <is>
          <t>H</t>
        </is>
      </c>
      <c r="D585" s="12" t="inlineStr">
        <is>
          <t>04</t>
        </is>
      </c>
      <c r="E585" s="7" t="n">
        <v>2</v>
      </c>
      <c r="F585" s="7">
        <f>A585&amp;B585&amp;"-"&amp;C585&amp;E585&amp;"-"&amp;D585</f>
        <v/>
      </c>
    </row>
    <row r="586">
      <c r="A586" s="6" t="inlineStr">
        <is>
          <t>R</t>
        </is>
      </c>
      <c r="B586" s="6" t="n">
        <v>4</v>
      </c>
      <c r="C586" s="6" t="inlineStr">
        <is>
          <t>H</t>
        </is>
      </c>
      <c r="D586" s="12" t="inlineStr">
        <is>
          <t>05</t>
        </is>
      </c>
      <c r="E586" s="7" t="n">
        <v>2</v>
      </c>
      <c r="F586" s="7">
        <f>A586&amp;B586&amp;"-"&amp;C586&amp;E586&amp;"-"&amp;D586</f>
        <v/>
      </c>
    </row>
    <row r="587">
      <c r="A587" s="6" t="inlineStr">
        <is>
          <t>R</t>
        </is>
      </c>
      <c r="B587" s="6" t="n">
        <v>4</v>
      </c>
      <c r="C587" s="6" t="inlineStr">
        <is>
          <t>H</t>
        </is>
      </c>
      <c r="D587" s="12" t="inlineStr">
        <is>
          <t>06</t>
        </is>
      </c>
      <c r="E587" s="7" t="n">
        <v>2</v>
      </c>
      <c r="F587" s="7">
        <f>A587&amp;B587&amp;"-"&amp;C587&amp;E587&amp;"-"&amp;D587</f>
        <v/>
      </c>
    </row>
    <row r="588">
      <c r="A588" s="6" t="inlineStr">
        <is>
          <t>R</t>
        </is>
      </c>
      <c r="B588" s="6" t="n">
        <v>4</v>
      </c>
      <c r="C588" s="6" t="inlineStr">
        <is>
          <t>H</t>
        </is>
      </c>
      <c r="D588" s="12" t="inlineStr">
        <is>
          <t>07</t>
        </is>
      </c>
      <c r="E588" s="7" t="n">
        <v>2</v>
      </c>
      <c r="F588" s="7">
        <f>A588&amp;B588&amp;"-"&amp;C588&amp;E588&amp;"-"&amp;D588</f>
        <v/>
      </c>
    </row>
    <row r="589">
      <c r="A589" s="6" t="inlineStr">
        <is>
          <t>R</t>
        </is>
      </c>
      <c r="B589" s="6" t="n">
        <v>4</v>
      </c>
      <c r="C589" s="6" t="inlineStr">
        <is>
          <t>H</t>
        </is>
      </c>
      <c r="D589" s="12" t="inlineStr">
        <is>
          <t>08</t>
        </is>
      </c>
      <c r="E589" s="7" t="n">
        <v>2</v>
      </c>
      <c r="F589" s="7">
        <f>A589&amp;B589&amp;"-"&amp;C589&amp;E589&amp;"-"&amp;D589</f>
        <v/>
      </c>
    </row>
    <row r="590">
      <c r="A590" s="6" t="inlineStr">
        <is>
          <t>R</t>
        </is>
      </c>
      <c r="B590" s="6" t="n">
        <v>4</v>
      </c>
      <c r="C590" s="6" t="inlineStr">
        <is>
          <t>H</t>
        </is>
      </c>
      <c r="D590" s="12" t="inlineStr">
        <is>
          <t>01</t>
        </is>
      </c>
      <c r="E590" s="7" t="n">
        <v>3</v>
      </c>
      <c r="F590" s="7">
        <f>A590&amp;B590&amp;"-"&amp;C590&amp;E590&amp;"-"&amp;D590</f>
        <v/>
      </c>
    </row>
    <row r="591">
      <c r="A591" s="6" t="inlineStr">
        <is>
          <t>R</t>
        </is>
      </c>
      <c r="B591" s="6" t="n">
        <v>4</v>
      </c>
      <c r="C591" s="6" t="inlineStr">
        <is>
          <t>H</t>
        </is>
      </c>
      <c r="D591" s="12" t="inlineStr">
        <is>
          <t>02</t>
        </is>
      </c>
      <c r="E591" s="7" t="n">
        <v>3</v>
      </c>
      <c r="F591" s="7">
        <f>A591&amp;B591&amp;"-"&amp;C591&amp;E591&amp;"-"&amp;D591</f>
        <v/>
      </c>
    </row>
    <row r="592">
      <c r="A592" s="6" t="inlineStr">
        <is>
          <t>R</t>
        </is>
      </c>
      <c r="B592" s="6" t="n">
        <v>4</v>
      </c>
      <c r="C592" s="6" t="inlineStr">
        <is>
          <t>H</t>
        </is>
      </c>
      <c r="D592" s="12" t="inlineStr">
        <is>
          <t>03</t>
        </is>
      </c>
      <c r="E592" s="7" t="n">
        <v>3</v>
      </c>
      <c r="F592" s="7">
        <f>A592&amp;B592&amp;"-"&amp;C592&amp;E592&amp;"-"&amp;D592</f>
        <v/>
      </c>
    </row>
    <row r="593">
      <c r="A593" s="6" t="inlineStr">
        <is>
          <t>R</t>
        </is>
      </c>
      <c r="B593" s="6" t="n">
        <v>4</v>
      </c>
      <c r="C593" s="6" t="inlineStr">
        <is>
          <t>H</t>
        </is>
      </c>
      <c r="D593" s="12" t="inlineStr">
        <is>
          <t>04</t>
        </is>
      </c>
      <c r="E593" s="7" t="n">
        <v>3</v>
      </c>
      <c r="F593" s="7">
        <f>A593&amp;B593&amp;"-"&amp;C593&amp;E593&amp;"-"&amp;D593</f>
        <v/>
      </c>
    </row>
    <row r="594">
      <c r="A594" s="6" t="inlineStr">
        <is>
          <t>R</t>
        </is>
      </c>
      <c r="B594" s="6" t="n">
        <v>4</v>
      </c>
      <c r="C594" s="6" t="inlineStr">
        <is>
          <t>H</t>
        </is>
      </c>
      <c r="D594" s="12" t="inlineStr">
        <is>
          <t>05</t>
        </is>
      </c>
      <c r="E594" s="7" t="n">
        <v>3</v>
      </c>
      <c r="F594" s="7">
        <f>A594&amp;B594&amp;"-"&amp;C594&amp;E594&amp;"-"&amp;D594</f>
        <v/>
      </c>
    </row>
    <row r="595">
      <c r="A595" s="6" t="inlineStr">
        <is>
          <t>R</t>
        </is>
      </c>
      <c r="B595" s="6" t="n">
        <v>4</v>
      </c>
      <c r="C595" s="6" t="inlineStr">
        <is>
          <t>H</t>
        </is>
      </c>
      <c r="D595" s="12" t="inlineStr">
        <is>
          <t>06</t>
        </is>
      </c>
      <c r="E595" s="7" t="n">
        <v>3</v>
      </c>
      <c r="F595" s="7">
        <f>A595&amp;B595&amp;"-"&amp;C595&amp;E595&amp;"-"&amp;D595</f>
        <v/>
      </c>
    </row>
    <row r="596">
      <c r="A596" s="6" t="inlineStr">
        <is>
          <t>R</t>
        </is>
      </c>
      <c r="B596" s="6" t="n">
        <v>4</v>
      </c>
      <c r="C596" s="6" t="inlineStr">
        <is>
          <t>H</t>
        </is>
      </c>
      <c r="D596" s="12" t="inlineStr">
        <is>
          <t>01</t>
        </is>
      </c>
      <c r="E596" s="7" t="n">
        <v>4</v>
      </c>
      <c r="F596" s="7">
        <f>A596&amp;B596&amp;"-"&amp;C596&amp;E596&amp;"-"&amp;D596</f>
        <v/>
      </c>
    </row>
    <row r="597">
      <c r="A597" s="6" t="inlineStr">
        <is>
          <t>R</t>
        </is>
      </c>
      <c r="B597" s="6" t="n">
        <v>4</v>
      </c>
      <c r="C597" s="6" t="inlineStr">
        <is>
          <t>H</t>
        </is>
      </c>
      <c r="D597" s="12" t="inlineStr">
        <is>
          <t>02</t>
        </is>
      </c>
      <c r="E597" s="7" t="n">
        <v>4</v>
      </c>
      <c r="F597" s="7">
        <f>A597&amp;B597&amp;"-"&amp;C597&amp;E597&amp;"-"&amp;D597</f>
        <v/>
      </c>
    </row>
    <row r="598">
      <c r="A598" s="6" t="inlineStr">
        <is>
          <t>R</t>
        </is>
      </c>
      <c r="B598" s="6" t="n">
        <v>4</v>
      </c>
      <c r="C598" s="6" t="inlineStr">
        <is>
          <t>H</t>
        </is>
      </c>
      <c r="D598" s="12" t="inlineStr">
        <is>
          <t>03</t>
        </is>
      </c>
      <c r="E598" s="7" t="n">
        <v>4</v>
      </c>
      <c r="F598" s="7">
        <f>A598&amp;B598&amp;"-"&amp;C598&amp;E598&amp;"-"&amp;D598</f>
        <v/>
      </c>
    </row>
    <row r="599">
      <c r="A599" s="6" t="inlineStr">
        <is>
          <t>R</t>
        </is>
      </c>
      <c r="B599" s="6" t="n">
        <v>4</v>
      </c>
      <c r="C599" s="6" t="inlineStr">
        <is>
          <t>H</t>
        </is>
      </c>
      <c r="D599" s="12" t="inlineStr">
        <is>
          <t>04</t>
        </is>
      </c>
      <c r="E599" s="7" t="n">
        <v>4</v>
      </c>
      <c r="F599" s="7">
        <f>A599&amp;B599&amp;"-"&amp;C599&amp;E599&amp;"-"&amp;D599</f>
        <v/>
      </c>
    </row>
    <row r="600">
      <c r="A600" s="6" t="inlineStr">
        <is>
          <t>R</t>
        </is>
      </c>
      <c r="B600" s="6" t="n">
        <v>4</v>
      </c>
      <c r="C600" s="6" t="inlineStr">
        <is>
          <t>H</t>
        </is>
      </c>
      <c r="D600" s="12" t="inlineStr">
        <is>
          <t>05</t>
        </is>
      </c>
      <c r="E600" s="7" t="n">
        <v>4</v>
      </c>
      <c r="F600" s="7">
        <f>A600&amp;B600&amp;"-"&amp;C600&amp;E600&amp;"-"&amp;D600</f>
        <v/>
      </c>
    </row>
    <row r="601">
      <c r="A601" s="6" t="inlineStr">
        <is>
          <t>R</t>
        </is>
      </c>
      <c r="B601" s="6" t="n">
        <v>4</v>
      </c>
      <c r="C601" s="6" t="inlineStr">
        <is>
          <t>H</t>
        </is>
      </c>
      <c r="D601" s="12" t="inlineStr">
        <is>
          <t>06</t>
        </is>
      </c>
      <c r="E601" s="7" t="n">
        <v>4</v>
      </c>
      <c r="F601" s="7">
        <f>A601&amp;B601&amp;"-"&amp;C601&amp;E601&amp;"-"&amp;D601</f>
        <v/>
      </c>
    </row>
    <row r="602">
      <c r="A602" s="6" t="inlineStr">
        <is>
          <t>R</t>
        </is>
      </c>
      <c r="B602" s="6" t="n">
        <v>5</v>
      </c>
      <c r="C602" s="7" t="inlineStr">
        <is>
          <t>E</t>
        </is>
      </c>
      <c r="D602" s="12" t="inlineStr">
        <is>
          <t>01</t>
        </is>
      </c>
      <c r="E602" s="7" t="n">
        <v>1</v>
      </c>
      <c r="F602" s="7">
        <f>A602&amp;B602&amp;"-"&amp;C602&amp;E602&amp;"-"&amp;D602</f>
        <v/>
      </c>
    </row>
    <row r="603">
      <c r="A603" s="6" t="inlineStr">
        <is>
          <t>R</t>
        </is>
      </c>
      <c r="B603" s="6" t="n">
        <v>5</v>
      </c>
      <c r="C603" s="7" t="inlineStr">
        <is>
          <t>E</t>
        </is>
      </c>
      <c r="D603" s="12" t="inlineStr">
        <is>
          <t>02</t>
        </is>
      </c>
      <c r="E603" s="7" t="n">
        <v>1</v>
      </c>
      <c r="F603" s="7">
        <f>A603&amp;B603&amp;"-"&amp;C603&amp;E603&amp;"-"&amp;D603</f>
        <v/>
      </c>
    </row>
    <row r="604">
      <c r="A604" s="6" t="inlineStr">
        <is>
          <t>R</t>
        </is>
      </c>
      <c r="B604" s="6" t="n">
        <v>5</v>
      </c>
      <c r="C604" s="7" t="inlineStr">
        <is>
          <t>E</t>
        </is>
      </c>
      <c r="D604" s="12" t="inlineStr">
        <is>
          <t>03</t>
        </is>
      </c>
      <c r="E604" s="7" t="n">
        <v>1</v>
      </c>
      <c r="F604" s="7">
        <f>A604&amp;B604&amp;"-"&amp;C604&amp;E604&amp;"-"&amp;D604</f>
        <v/>
      </c>
    </row>
    <row r="605">
      <c r="A605" s="6" t="inlineStr">
        <is>
          <t>R</t>
        </is>
      </c>
      <c r="B605" s="6" t="n">
        <v>5</v>
      </c>
      <c r="C605" s="7" t="inlineStr">
        <is>
          <t>E</t>
        </is>
      </c>
      <c r="D605" s="12" t="inlineStr">
        <is>
          <t>04</t>
        </is>
      </c>
      <c r="E605" s="7" t="n">
        <v>1</v>
      </c>
      <c r="F605" s="7">
        <f>A605&amp;B605&amp;"-"&amp;C605&amp;E605&amp;"-"&amp;D605</f>
        <v/>
      </c>
    </row>
    <row r="606">
      <c r="A606" s="6" t="inlineStr">
        <is>
          <t>R</t>
        </is>
      </c>
      <c r="B606" s="6" t="n">
        <v>5</v>
      </c>
      <c r="C606" s="7" t="inlineStr">
        <is>
          <t>E</t>
        </is>
      </c>
      <c r="D606" s="12" t="inlineStr">
        <is>
          <t>01</t>
        </is>
      </c>
      <c r="E606" s="7" t="n">
        <v>2</v>
      </c>
      <c r="F606" s="7">
        <f>A606&amp;B606&amp;"-"&amp;C606&amp;E606&amp;"-"&amp;D606</f>
        <v/>
      </c>
    </row>
    <row r="607">
      <c r="A607" s="6" t="inlineStr">
        <is>
          <t>R</t>
        </is>
      </c>
      <c r="B607" s="6" t="n">
        <v>5</v>
      </c>
      <c r="C607" s="7" t="inlineStr">
        <is>
          <t>E</t>
        </is>
      </c>
      <c r="D607" s="12" t="inlineStr">
        <is>
          <t>02</t>
        </is>
      </c>
      <c r="E607" s="7" t="n">
        <v>2</v>
      </c>
      <c r="F607" s="7">
        <f>A607&amp;B607&amp;"-"&amp;C607&amp;E607&amp;"-"&amp;D607</f>
        <v/>
      </c>
    </row>
    <row r="608">
      <c r="A608" s="6" t="inlineStr">
        <is>
          <t>R</t>
        </is>
      </c>
      <c r="B608" s="6" t="n">
        <v>5</v>
      </c>
      <c r="C608" s="7" t="inlineStr">
        <is>
          <t>E</t>
        </is>
      </c>
      <c r="D608" s="12" t="inlineStr">
        <is>
          <t>03</t>
        </is>
      </c>
      <c r="E608" s="7" t="n">
        <v>2</v>
      </c>
      <c r="F608" s="7">
        <f>A608&amp;B608&amp;"-"&amp;C608&amp;E608&amp;"-"&amp;D608</f>
        <v/>
      </c>
    </row>
    <row r="609">
      <c r="A609" s="6" t="inlineStr">
        <is>
          <t>R</t>
        </is>
      </c>
      <c r="B609" s="6" t="n">
        <v>5</v>
      </c>
      <c r="C609" s="7" t="inlineStr">
        <is>
          <t>E</t>
        </is>
      </c>
      <c r="D609" s="12" t="inlineStr">
        <is>
          <t>04</t>
        </is>
      </c>
      <c r="E609" s="7" t="n">
        <v>2</v>
      </c>
      <c r="F609" s="7">
        <f>A609&amp;B609&amp;"-"&amp;C609&amp;E609&amp;"-"&amp;D609</f>
        <v/>
      </c>
    </row>
    <row r="610">
      <c r="A610" s="6" t="inlineStr">
        <is>
          <t>R</t>
        </is>
      </c>
      <c r="B610" s="6" t="n">
        <v>5</v>
      </c>
      <c r="C610" s="7" t="inlineStr">
        <is>
          <t>E</t>
        </is>
      </c>
      <c r="D610" s="12" t="inlineStr">
        <is>
          <t>05</t>
        </is>
      </c>
      <c r="E610" s="7" t="n">
        <v>2</v>
      </c>
      <c r="F610" s="7">
        <f>A610&amp;B610&amp;"-"&amp;C610&amp;E610&amp;"-"&amp;D610</f>
        <v/>
      </c>
    </row>
    <row r="611">
      <c r="A611" s="6" t="inlineStr">
        <is>
          <t>R</t>
        </is>
      </c>
      <c r="B611" s="6" t="n">
        <v>5</v>
      </c>
      <c r="C611" s="7" t="inlineStr">
        <is>
          <t>E</t>
        </is>
      </c>
      <c r="D611" s="12" t="inlineStr">
        <is>
          <t>06</t>
        </is>
      </c>
      <c r="E611" s="7" t="n">
        <v>2</v>
      </c>
      <c r="F611" s="7">
        <f>A611&amp;B611&amp;"-"&amp;C611&amp;E611&amp;"-"&amp;D611</f>
        <v/>
      </c>
    </row>
    <row r="612">
      <c r="A612" s="6" t="inlineStr">
        <is>
          <t>R</t>
        </is>
      </c>
      <c r="B612" s="6" t="n">
        <v>5</v>
      </c>
      <c r="C612" s="7" t="inlineStr">
        <is>
          <t>E</t>
        </is>
      </c>
      <c r="D612" s="12" t="inlineStr">
        <is>
          <t>01</t>
        </is>
      </c>
      <c r="E612" s="7" t="n">
        <v>3</v>
      </c>
      <c r="F612" s="7">
        <f>A612&amp;B612&amp;"-"&amp;C612&amp;E612&amp;"-"&amp;D612</f>
        <v/>
      </c>
    </row>
    <row r="613">
      <c r="A613" s="6" t="inlineStr">
        <is>
          <t>R</t>
        </is>
      </c>
      <c r="B613" s="6" t="n">
        <v>5</v>
      </c>
      <c r="C613" s="7" t="inlineStr">
        <is>
          <t>E</t>
        </is>
      </c>
      <c r="D613" s="12" t="inlineStr">
        <is>
          <t>02</t>
        </is>
      </c>
      <c r="E613" s="7" t="n">
        <v>3</v>
      </c>
      <c r="F613" s="7">
        <f>A613&amp;B613&amp;"-"&amp;C613&amp;E613&amp;"-"&amp;D613</f>
        <v/>
      </c>
    </row>
    <row r="614">
      <c r="A614" s="6" t="inlineStr">
        <is>
          <t>R</t>
        </is>
      </c>
      <c r="B614" s="6" t="n">
        <v>5</v>
      </c>
      <c r="C614" s="7" t="inlineStr">
        <is>
          <t>E</t>
        </is>
      </c>
      <c r="D614" s="12" t="inlineStr">
        <is>
          <t>03</t>
        </is>
      </c>
      <c r="E614" s="7" t="n">
        <v>3</v>
      </c>
      <c r="F614" s="7">
        <f>A614&amp;B614&amp;"-"&amp;C614&amp;E614&amp;"-"&amp;D614</f>
        <v/>
      </c>
    </row>
    <row r="615">
      <c r="A615" s="6" t="inlineStr">
        <is>
          <t>R</t>
        </is>
      </c>
      <c r="B615" s="6" t="n">
        <v>5</v>
      </c>
      <c r="C615" s="7" t="inlineStr">
        <is>
          <t>E</t>
        </is>
      </c>
      <c r="D615" s="12" t="inlineStr">
        <is>
          <t>04</t>
        </is>
      </c>
      <c r="E615" s="7" t="n">
        <v>3</v>
      </c>
      <c r="F615" s="7">
        <f>A615&amp;B615&amp;"-"&amp;C615&amp;E615&amp;"-"&amp;D615</f>
        <v/>
      </c>
    </row>
    <row r="616">
      <c r="A616" s="6" t="inlineStr">
        <is>
          <t>R</t>
        </is>
      </c>
      <c r="B616" s="6" t="n">
        <v>5</v>
      </c>
      <c r="C616" s="7" t="inlineStr">
        <is>
          <t>E</t>
        </is>
      </c>
      <c r="D616" s="12" t="inlineStr">
        <is>
          <t>05</t>
        </is>
      </c>
      <c r="E616" s="7" t="n">
        <v>3</v>
      </c>
      <c r="F616" s="7">
        <f>A616&amp;B616&amp;"-"&amp;C616&amp;E616&amp;"-"&amp;D616</f>
        <v/>
      </c>
    </row>
    <row r="617">
      <c r="A617" s="6" t="inlineStr">
        <is>
          <t>R</t>
        </is>
      </c>
      <c r="B617" s="6" t="n">
        <v>5</v>
      </c>
      <c r="C617" s="7" t="inlineStr">
        <is>
          <t>E</t>
        </is>
      </c>
      <c r="D617" s="12" t="inlineStr">
        <is>
          <t>06</t>
        </is>
      </c>
      <c r="E617" s="7" t="n">
        <v>3</v>
      </c>
      <c r="F617" s="7">
        <f>A617&amp;B617&amp;"-"&amp;C617&amp;E617&amp;"-"&amp;D617</f>
        <v/>
      </c>
    </row>
    <row r="618">
      <c r="A618" s="6" t="inlineStr">
        <is>
          <t>R</t>
        </is>
      </c>
      <c r="B618" s="6" t="n">
        <v>5</v>
      </c>
      <c r="C618" s="7" t="inlineStr">
        <is>
          <t>E</t>
        </is>
      </c>
      <c r="D618" s="12" t="inlineStr">
        <is>
          <t>01</t>
        </is>
      </c>
      <c r="E618" s="7" t="n">
        <v>4</v>
      </c>
      <c r="F618" s="7">
        <f>A618&amp;B618&amp;"-"&amp;C618&amp;E618&amp;"-"&amp;D618</f>
        <v/>
      </c>
    </row>
    <row r="619">
      <c r="A619" s="6" t="inlineStr">
        <is>
          <t>R</t>
        </is>
      </c>
      <c r="B619" s="6" t="n">
        <v>5</v>
      </c>
      <c r="C619" s="7" t="inlineStr">
        <is>
          <t>E</t>
        </is>
      </c>
      <c r="D619" s="12" t="inlineStr">
        <is>
          <t>02</t>
        </is>
      </c>
      <c r="E619" s="7" t="n">
        <v>4</v>
      </c>
      <c r="F619" s="7">
        <f>A619&amp;B619&amp;"-"&amp;C619&amp;E619&amp;"-"&amp;D619</f>
        <v/>
      </c>
    </row>
    <row r="620">
      <c r="A620" s="6" t="inlineStr">
        <is>
          <t>R</t>
        </is>
      </c>
      <c r="B620" s="6" t="n">
        <v>5</v>
      </c>
      <c r="C620" s="7" t="inlineStr">
        <is>
          <t>E</t>
        </is>
      </c>
      <c r="D620" s="12" t="inlineStr">
        <is>
          <t>03</t>
        </is>
      </c>
      <c r="E620" s="7" t="n">
        <v>4</v>
      </c>
      <c r="F620" s="7">
        <f>A620&amp;B620&amp;"-"&amp;C620&amp;E620&amp;"-"&amp;D620</f>
        <v/>
      </c>
    </row>
    <row r="621">
      <c r="A621" s="6" t="inlineStr">
        <is>
          <t>R</t>
        </is>
      </c>
      <c r="B621" s="6" t="n">
        <v>5</v>
      </c>
      <c r="C621" s="7" t="inlineStr">
        <is>
          <t>E</t>
        </is>
      </c>
      <c r="D621" s="12" t="inlineStr">
        <is>
          <t>04</t>
        </is>
      </c>
      <c r="E621" s="7" t="n">
        <v>4</v>
      </c>
      <c r="F621" s="7">
        <f>A621&amp;B621&amp;"-"&amp;C621&amp;E621&amp;"-"&amp;D621</f>
        <v/>
      </c>
    </row>
    <row r="622">
      <c r="A622" s="6" t="inlineStr">
        <is>
          <t>R</t>
        </is>
      </c>
      <c r="B622" s="6" t="n">
        <v>5</v>
      </c>
      <c r="C622" s="7" t="inlineStr">
        <is>
          <t>E</t>
        </is>
      </c>
      <c r="D622" s="12" t="inlineStr">
        <is>
          <t>05</t>
        </is>
      </c>
      <c r="E622" s="7" t="n">
        <v>4</v>
      </c>
      <c r="F622" s="7">
        <f>A622&amp;B622&amp;"-"&amp;C622&amp;E622&amp;"-"&amp;D622</f>
        <v/>
      </c>
    </row>
    <row r="623">
      <c r="A623" s="6" t="inlineStr">
        <is>
          <t>R</t>
        </is>
      </c>
      <c r="B623" s="6" t="n">
        <v>5</v>
      </c>
      <c r="C623" s="7" t="inlineStr">
        <is>
          <t>E</t>
        </is>
      </c>
      <c r="D623" s="12" t="inlineStr">
        <is>
          <t>06</t>
        </is>
      </c>
      <c r="E623" s="7" t="n">
        <v>4</v>
      </c>
      <c r="F623" s="7">
        <f>A623&amp;B623&amp;"-"&amp;C623&amp;E623&amp;"-"&amp;D623</f>
        <v/>
      </c>
    </row>
    <row r="624">
      <c r="A624" s="6" t="inlineStr">
        <is>
          <t>R</t>
        </is>
      </c>
      <c r="B624" s="6" t="n">
        <v>5</v>
      </c>
      <c r="C624" s="7" t="inlineStr">
        <is>
          <t>F</t>
        </is>
      </c>
      <c r="D624" s="12" t="inlineStr">
        <is>
          <t>01</t>
        </is>
      </c>
      <c r="E624" s="7" t="n">
        <v>1</v>
      </c>
      <c r="F624" s="7">
        <f>A624&amp;B624&amp;"-"&amp;C624&amp;E624&amp;"-"&amp;D624</f>
        <v/>
      </c>
    </row>
    <row r="625">
      <c r="A625" s="6" t="inlineStr">
        <is>
          <t>R</t>
        </is>
      </c>
      <c r="B625" s="6" t="n">
        <v>5</v>
      </c>
      <c r="C625" s="7" t="inlineStr">
        <is>
          <t>F</t>
        </is>
      </c>
      <c r="D625" s="12" t="inlineStr">
        <is>
          <t>02</t>
        </is>
      </c>
      <c r="E625" s="7" t="n">
        <v>1</v>
      </c>
      <c r="F625" s="7">
        <f>A625&amp;B625&amp;"-"&amp;C625&amp;E625&amp;"-"&amp;D625</f>
        <v/>
      </c>
    </row>
    <row r="626">
      <c r="A626" s="6" t="inlineStr">
        <is>
          <t>R</t>
        </is>
      </c>
      <c r="B626" s="6" t="n">
        <v>5</v>
      </c>
      <c r="C626" s="7" t="inlineStr">
        <is>
          <t>F</t>
        </is>
      </c>
      <c r="D626" s="12" t="inlineStr">
        <is>
          <t>03</t>
        </is>
      </c>
      <c r="E626" s="7" t="n">
        <v>1</v>
      </c>
      <c r="F626" s="7">
        <f>A626&amp;B626&amp;"-"&amp;C626&amp;E626&amp;"-"&amp;D626</f>
        <v/>
      </c>
    </row>
    <row r="627">
      <c r="A627" s="6" t="inlineStr">
        <is>
          <t>R</t>
        </is>
      </c>
      <c r="B627" s="6" t="n">
        <v>5</v>
      </c>
      <c r="C627" s="7" t="inlineStr">
        <is>
          <t>F</t>
        </is>
      </c>
      <c r="D627" s="12" t="inlineStr">
        <is>
          <t>04</t>
        </is>
      </c>
      <c r="E627" s="7" t="n">
        <v>1</v>
      </c>
      <c r="F627" s="7">
        <f>A627&amp;B627&amp;"-"&amp;C627&amp;E627&amp;"-"&amp;D627</f>
        <v/>
      </c>
    </row>
    <row r="628">
      <c r="A628" s="6" t="inlineStr">
        <is>
          <t>R</t>
        </is>
      </c>
      <c r="B628" s="6" t="n">
        <v>5</v>
      </c>
      <c r="C628" s="7" t="inlineStr">
        <is>
          <t>F</t>
        </is>
      </c>
      <c r="D628" s="12" t="inlineStr">
        <is>
          <t>05</t>
        </is>
      </c>
      <c r="E628" s="7" t="n">
        <v>1</v>
      </c>
      <c r="F628" s="7">
        <f>A628&amp;B628&amp;"-"&amp;C628&amp;E628&amp;"-"&amp;D628</f>
        <v/>
      </c>
    </row>
    <row r="629">
      <c r="A629" s="6" t="inlineStr">
        <is>
          <t>R</t>
        </is>
      </c>
      <c r="B629" s="6" t="n">
        <v>5</v>
      </c>
      <c r="C629" s="7" t="inlineStr">
        <is>
          <t>F</t>
        </is>
      </c>
      <c r="D629" s="12" t="inlineStr">
        <is>
          <t>06</t>
        </is>
      </c>
      <c r="E629" s="7" t="n">
        <v>1</v>
      </c>
      <c r="F629" s="7">
        <f>A629&amp;B629&amp;"-"&amp;C629&amp;E629&amp;"-"&amp;D629</f>
        <v/>
      </c>
    </row>
    <row r="630">
      <c r="A630" s="6" t="inlineStr">
        <is>
          <t>R</t>
        </is>
      </c>
      <c r="B630" s="6" t="n">
        <v>5</v>
      </c>
      <c r="C630" s="7" t="inlineStr">
        <is>
          <t>F</t>
        </is>
      </c>
      <c r="D630" s="12" t="inlineStr">
        <is>
          <t>07</t>
        </is>
      </c>
      <c r="E630" s="7" t="n">
        <v>1</v>
      </c>
      <c r="F630" s="7">
        <f>A630&amp;B630&amp;"-"&amp;C630&amp;E630&amp;"-"&amp;D630</f>
        <v/>
      </c>
    </row>
    <row r="631">
      <c r="A631" s="6" t="inlineStr">
        <is>
          <t>R</t>
        </is>
      </c>
      <c r="B631" s="6" t="n">
        <v>5</v>
      </c>
      <c r="C631" s="7" t="inlineStr">
        <is>
          <t>F</t>
        </is>
      </c>
      <c r="D631" s="12" t="inlineStr">
        <is>
          <t>08</t>
        </is>
      </c>
      <c r="E631" s="7" t="n">
        <v>1</v>
      </c>
      <c r="F631" s="7">
        <f>A631&amp;B631&amp;"-"&amp;C631&amp;E631&amp;"-"&amp;D631</f>
        <v/>
      </c>
    </row>
    <row r="632">
      <c r="A632" s="6" t="inlineStr">
        <is>
          <t>R</t>
        </is>
      </c>
      <c r="B632" s="6" t="n">
        <v>5</v>
      </c>
      <c r="C632" s="7" t="inlineStr">
        <is>
          <t>F</t>
        </is>
      </c>
      <c r="D632" s="12" t="inlineStr">
        <is>
          <t>01</t>
        </is>
      </c>
      <c r="E632" s="7" t="n">
        <v>2</v>
      </c>
      <c r="F632" s="7">
        <f>A632&amp;B632&amp;"-"&amp;C632&amp;E632&amp;"-"&amp;D632</f>
        <v/>
      </c>
    </row>
    <row r="633">
      <c r="A633" s="6" t="inlineStr">
        <is>
          <t>R</t>
        </is>
      </c>
      <c r="B633" s="6" t="n">
        <v>5</v>
      </c>
      <c r="C633" s="7" t="inlineStr">
        <is>
          <t>F</t>
        </is>
      </c>
      <c r="D633" s="12" t="inlineStr">
        <is>
          <t>02</t>
        </is>
      </c>
      <c r="E633" s="7" t="n">
        <v>2</v>
      </c>
      <c r="F633" s="7">
        <f>A633&amp;B633&amp;"-"&amp;C633&amp;E633&amp;"-"&amp;D633</f>
        <v/>
      </c>
    </row>
    <row r="634">
      <c r="A634" s="6" t="inlineStr">
        <is>
          <t>R</t>
        </is>
      </c>
      <c r="B634" s="6" t="n">
        <v>5</v>
      </c>
      <c r="C634" s="7" t="inlineStr">
        <is>
          <t>F</t>
        </is>
      </c>
      <c r="D634" s="12" t="inlineStr">
        <is>
          <t>03</t>
        </is>
      </c>
      <c r="E634" s="7" t="n">
        <v>2</v>
      </c>
      <c r="F634" s="7">
        <f>A634&amp;B634&amp;"-"&amp;C634&amp;E634&amp;"-"&amp;D634</f>
        <v/>
      </c>
    </row>
    <row r="635">
      <c r="A635" s="6" t="inlineStr">
        <is>
          <t>R</t>
        </is>
      </c>
      <c r="B635" s="6" t="n">
        <v>5</v>
      </c>
      <c r="C635" s="7" t="inlineStr">
        <is>
          <t>F</t>
        </is>
      </c>
      <c r="D635" s="12" t="inlineStr">
        <is>
          <t>04</t>
        </is>
      </c>
      <c r="E635" s="7" t="n">
        <v>2</v>
      </c>
      <c r="F635" s="7">
        <f>A635&amp;B635&amp;"-"&amp;C635&amp;E635&amp;"-"&amp;D635</f>
        <v/>
      </c>
    </row>
    <row r="636">
      <c r="A636" s="6" t="inlineStr">
        <is>
          <t>R</t>
        </is>
      </c>
      <c r="B636" s="6" t="n">
        <v>5</v>
      </c>
      <c r="C636" s="7" t="inlineStr">
        <is>
          <t>F</t>
        </is>
      </c>
      <c r="D636" s="12" t="inlineStr">
        <is>
          <t>05</t>
        </is>
      </c>
      <c r="E636" s="7" t="n">
        <v>2</v>
      </c>
      <c r="F636" s="7">
        <f>A636&amp;B636&amp;"-"&amp;C636&amp;E636&amp;"-"&amp;D636</f>
        <v/>
      </c>
    </row>
    <row r="637">
      <c r="A637" s="6" t="inlineStr">
        <is>
          <t>R</t>
        </is>
      </c>
      <c r="B637" s="6" t="n">
        <v>5</v>
      </c>
      <c r="C637" s="7" t="inlineStr">
        <is>
          <t>F</t>
        </is>
      </c>
      <c r="D637" s="12" t="inlineStr">
        <is>
          <t>06</t>
        </is>
      </c>
      <c r="E637" s="7" t="n">
        <v>2</v>
      </c>
      <c r="F637" s="7">
        <f>A637&amp;B637&amp;"-"&amp;C637&amp;E637&amp;"-"&amp;D637</f>
        <v/>
      </c>
    </row>
    <row r="638">
      <c r="A638" s="6" t="inlineStr">
        <is>
          <t>R</t>
        </is>
      </c>
      <c r="B638" s="6" t="n">
        <v>5</v>
      </c>
      <c r="C638" s="7" t="inlineStr">
        <is>
          <t>F</t>
        </is>
      </c>
      <c r="D638" s="12" t="inlineStr">
        <is>
          <t>01</t>
        </is>
      </c>
      <c r="E638" s="7" t="n">
        <v>3</v>
      </c>
      <c r="F638" s="7">
        <f>A638&amp;B638&amp;"-"&amp;C638&amp;E638&amp;"-"&amp;D638</f>
        <v/>
      </c>
    </row>
    <row r="639">
      <c r="A639" s="6" t="inlineStr">
        <is>
          <t>R</t>
        </is>
      </c>
      <c r="B639" s="6" t="n">
        <v>5</v>
      </c>
      <c r="C639" s="7" t="inlineStr">
        <is>
          <t>F</t>
        </is>
      </c>
      <c r="D639" s="12" t="inlineStr">
        <is>
          <t>02</t>
        </is>
      </c>
      <c r="E639" s="7" t="n">
        <v>3</v>
      </c>
      <c r="F639" s="7">
        <f>A639&amp;B639&amp;"-"&amp;C639&amp;E639&amp;"-"&amp;D639</f>
        <v/>
      </c>
    </row>
    <row r="640">
      <c r="A640" s="6" t="inlineStr">
        <is>
          <t>R</t>
        </is>
      </c>
      <c r="B640" s="6" t="n">
        <v>5</v>
      </c>
      <c r="C640" s="7" t="inlineStr">
        <is>
          <t>F</t>
        </is>
      </c>
      <c r="D640" s="12" t="inlineStr">
        <is>
          <t>03</t>
        </is>
      </c>
      <c r="E640" s="7" t="n">
        <v>3</v>
      </c>
      <c r="F640" s="7">
        <f>A640&amp;B640&amp;"-"&amp;C640&amp;E640&amp;"-"&amp;D640</f>
        <v/>
      </c>
    </row>
    <row r="641">
      <c r="A641" s="6" t="inlineStr">
        <is>
          <t>R</t>
        </is>
      </c>
      <c r="B641" s="6" t="n">
        <v>5</v>
      </c>
      <c r="C641" s="7" t="inlineStr">
        <is>
          <t>F</t>
        </is>
      </c>
      <c r="D641" s="12" t="inlineStr">
        <is>
          <t>04</t>
        </is>
      </c>
      <c r="E641" s="7" t="n">
        <v>3</v>
      </c>
      <c r="F641" s="7">
        <f>A641&amp;B641&amp;"-"&amp;C641&amp;E641&amp;"-"&amp;D641</f>
        <v/>
      </c>
    </row>
    <row r="642">
      <c r="A642" s="6" t="inlineStr">
        <is>
          <t>R</t>
        </is>
      </c>
      <c r="B642" s="6" t="n">
        <v>5</v>
      </c>
      <c r="C642" s="7" t="inlineStr">
        <is>
          <t>F</t>
        </is>
      </c>
      <c r="D642" s="12" t="inlineStr">
        <is>
          <t>05</t>
        </is>
      </c>
      <c r="E642" s="7" t="n">
        <v>3</v>
      </c>
      <c r="F642" s="7">
        <f>A642&amp;B642&amp;"-"&amp;C642&amp;E642&amp;"-"&amp;D642</f>
        <v/>
      </c>
    </row>
    <row r="643">
      <c r="A643" s="6" t="inlineStr">
        <is>
          <t>R</t>
        </is>
      </c>
      <c r="B643" s="6" t="n">
        <v>5</v>
      </c>
      <c r="C643" s="7" t="inlineStr">
        <is>
          <t>F</t>
        </is>
      </c>
      <c r="D643" s="12" t="inlineStr">
        <is>
          <t>06</t>
        </is>
      </c>
      <c r="E643" s="7" t="n">
        <v>3</v>
      </c>
      <c r="F643" s="7">
        <f>A643&amp;B643&amp;"-"&amp;C643&amp;E643&amp;"-"&amp;D643</f>
        <v/>
      </c>
    </row>
    <row r="644">
      <c r="A644" s="6" t="inlineStr">
        <is>
          <t>R</t>
        </is>
      </c>
      <c r="B644" s="6" t="n">
        <v>5</v>
      </c>
      <c r="C644" s="7" t="inlineStr">
        <is>
          <t>F</t>
        </is>
      </c>
      <c r="D644" s="12" t="inlineStr">
        <is>
          <t>01</t>
        </is>
      </c>
      <c r="E644" s="7" t="n">
        <v>4</v>
      </c>
      <c r="F644" s="7">
        <f>A644&amp;B644&amp;"-"&amp;C644&amp;E644&amp;"-"&amp;D644</f>
        <v/>
      </c>
    </row>
    <row r="645">
      <c r="A645" s="6" t="inlineStr">
        <is>
          <t>R</t>
        </is>
      </c>
      <c r="B645" s="6" t="n">
        <v>5</v>
      </c>
      <c r="C645" s="7" t="inlineStr">
        <is>
          <t>F</t>
        </is>
      </c>
      <c r="D645" s="12" t="inlineStr">
        <is>
          <t>02</t>
        </is>
      </c>
      <c r="E645" s="7" t="n">
        <v>4</v>
      </c>
      <c r="F645" s="7">
        <f>A645&amp;B645&amp;"-"&amp;C645&amp;E645&amp;"-"&amp;D645</f>
        <v/>
      </c>
    </row>
    <row r="646">
      <c r="A646" s="6" t="inlineStr">
        <is>
          <t>R</t>
        </is>
      </c>
      <c r="B646" s="6" t="n">
        <v>5</v>
      </c>
      <c r="C646" s="7" t="inlineStr">
        <is>
          <t>F</t>
        </is>
      </c>
      <c r="D646" s="12" t="inlineStr">
        <is>
          <t>03</t>
        </is>
      </c>
      <c r="E646" s="7" t="n">
        <v>4</v>
      </c>
      <c r="F646" s="7">
        <f>A646&amp;B646&amp;"-"&amp;C646&amp;E646&amp;"-"&amp;D646</f>
        <v/>
      </c>
    </row>
    <row r="647">
      <c r="A647" s="6" t="inlineStr">
        <is>
          <t>R</t>
        </is>
      </c>
      <c r="B647" s="6" t="n">
        <v>5</v>
      </c>
      <c r="C647" s="7" t="inlineStr">
        <is>
          <t>F</t>
        </is>
      </c>
      <c r="D647" s="12" t="inlineStr">
        <is>
          <t>04</t>
        </is>
      </c>
      <c r="E647" s="7" t="n">
        <v>4</v>
      </c>
      <c r="F647" s="7">
        <f>A647&amp;B647&amp;"-"&amp;C647&amp;E647&amp;"-"&amp;D647</f>
        <v/>
      </c>
    </row>
    <row r="648">
      <c r="A648" s="6" t="inlineStr">
        <is>
          <t>R</t>
        </is>
      </c>
      <c r="B648" s="6" t="n">
        <v>5</v>
      </c>
      <c r="C648" s="7" t="inlineStr">
        <is>
          <t>F</t>
        </is>
      </c>
      <c r="D648" s="12" t="inlineStr">
        <is>
          <t>05</t>
        </is>
      </c>
      <c r="E648" s="7" t="n">
        <v>4</v>
      </c>
      <c r="F648" s="7">
        <f>A648&amp;B648&amp;"-"&amp;C648&amp;E648&amp;"-"&amp;D648</f>
        <v/>
      </c>
    </row>
    <row r="649">
      <c r="A649" s="6" t="inlineStr">
        <is>
          <t>R</t>
        </is>
      </c>
      <c r="B649" s="6" t="n">
        <v>5</v>
      </c>
      <c r="C649" s="7" t="inlineStr">
        <is>
          <t>F</t>
        </is>
      </c>
      <c r="D649" s="12" t="inlineStr">
        <is>
          <t>06</t>
        </is>
      </c>
      <c r="E649" s="7" t="n">
        <v>4</v>
      </c>
      <c r="F649" s="7">
        <f>A649&amp;B649&amp;"-"&amp;C649&amp;E649&amp;"-"&amp;D649</f>
        <v/>
      </c>
    </row>
    <row r="650">
      <c r="A650" s="6" t="inlineStr">
        <is>
          <t>R</t>
        </is>
      </c>
      <c r="B650" s="6" t="n">
        <v>5</v>
      </c>
      <c r="C650" s="7" t="inlineStr">
        <is>
          <t>F</t>
        </is>
      </c>
      <c r="D650" s="12" t="inlineStr">
        <is>
          <t>07</t>
        </is>
      </c>
      <c r="E650" s="7" t="n">
        <v>4</v>
      </c>
      <c r="F650" s="7">
        <f>A650&amp;B650&amp;"-"&amp;C650&amp;E650&amp;"-"&amp;D650</f>
        <v/>
      </c>
    </row>
    <row r="651">
      <c r="A651" s="6" t="inlineStr">
        <is>
          <t>R</t>
        </is>
      </c>
      <c r="B651" s="6" t="n">
        <v>5</v>
      </c>
      <c r="C651" s="7" t="inlineStr">
        <is>
          <t>F</t>
        </is>
      </c>
      <c r="D651" s="12" t="inlineStr">
        <is>
          <t>08</t>
        </is>
      </c>
      <c r="E651" s="7" t="n">
        <v>4</v>
      </c>
      <c r="F651" s="7">
        <f>A651&amp;B651&amp;"-"&amp;C651&amp;E651&amp;"-"&amp;D651</f>
        <v/>
      </c>
    </row>
    <row r="652">
      <c r="A652" s="8" t="inlineStr">
        <is>
          <t>R</t>
        </is>
      </c>
      <c r="B652" s="8" t="n">
        <v>5</v>
      </c>
      <c r="C652" s="9" t="inlineStr">
        <is>
          <t>F</t>
        </is>
      </c>
      <c r="D652" s="13" t="inlineStr">
        <is>
          <t>03</t>
        </is>
      </c>
      <c r="E652" s="9" t="inlineStr">
        <is>
          <t>M</t>
        </is>
      </c>
      <c r="F652" s="9">
        <f>A652&amp;B652&amp;"-"&amp;C652&amp;E652&amp;"-"&amp;D652</f>
        <v/>
      </c>
    </row>
    <row r="653">
      <c r="A653" s="6" t="inlineStr">
        <is>
          <t>R</t>
        </is>
      </c>
      <c r="B653" s="6" t="n">
        <v>5</v>
      </c>
      <c r="C653" s="6" t="inlineStr">
        <is>
          <t>G</t>
        </is>
      </c>
      <c r="D653" s="12" t="inlineStr">
        <is>
          <t>01</t>
        </is>
      </c>
      <c r="E653" s="7" t="n">
        <v>1</v>
      </c>
      <c r="F653" s="7">
        <f>A653&amp;B653&amp;"-"&amp;C653&amp;E653&amp;"-"&amp;D653</f>
        <v/>
      </c>
    </row>
    <row r="654">
      <c r="A654" s="6" t="inlineStr">
        <is>
          <t>R</t>
        </is>
      </c>
      <c r="B654" s="6" t="n">
        <v>5</v>
      </c>
      <c r="C654" s="6" t="inlineStr">
        <is>
          <t>G</t>
        </is>
      </c>
      <c r="D654" s="12" t="inlineStr">
        <is>
          <t>02</t>
        </is>
      </c>
      <c r="E654" s="7" t="n">
        <v>1</v>
      </c>
      <c r="F654" s="7">
        <f>A654&amp;B654&amp;"-"&amp;C654&amp;E654&amp;"-"&amp;D654</f>
        <v/>
      </c>
    </row>
    <row r="655">
      <c r="A655" s="6" t="inlineStr">
        <is>
          <t>R</t>
        </is>
      </c>
      <c r="B655" s="6" t="n">
        <v>5</v>
      </c>
      <c r="C655" s="6" t="inlineStr">
        <is>
          <t>G</t>
        </is>
      </c>
      <c r="D655" s="12" t="inlineStr">
        <is>
          <t>03</t>
        </is>
      </c>
      <c r="E655" s="7" t="n">
        <v>1</v>
      </c>
      <c r="F655" s="7">
        <f>A655&amp;B655&amp;"-"&amp;C655&amp;E655&amp;"-"&amp;D655</f>
        <v/>
      </c>
    </row>
    <row r="656">
      <c r="A656" s="6" t="inlineStr">
        <is>
          <t>R</t>
        </is>
      </c>
      <c r="B656" s="6" t="n">
        <v>5</v>
      </c>
      <c r="C656" s="6" t="inlineStr">
        <is>
          <t>G</t>
        </is>
      </c>
      <c r="D656" s="12" t="inlineStr">
        <is>
          <t>04</t>
        </is>
      </c>
      <c r="E656" s="7" t="n">
        <v>1</v>
      </c>
      <c r="F656" s="7">
        <f>A656&amp;B656&amp;"-"&amp;C656&amp;E656&amp;"-"&amp;D656</f>
        <v/>
      </c>
    </row>
    <row r="657">
      <c r="A657" s="6" t="inlineStr">
        <is>
          <t>R</t>
        </is>
      </c>
      <c r="B657" s="6" t="n">
        <v>5</v>
      </c>
      <c r="C657" s="6" t="inlineStr">
        <is>
          <t>G</t>
        </is>
      </c>
      <c r="D657" s="12" t="inlineStr">
        <is>
          <t>05</t>
        </is>
      </c>
      <c r="E657" s="7" t="n">
        <v>1</v>
      </c>
      <c r="F657" s="7">
        <f>A657&amp;B657&amp;"-"&amp;C657&amp;E657&amp;"-"&amp;D657</f>
        <v/>
      </c>
    </row>
    <row r="658">
      <c r="A658" s="6" t="inlineStr">
        <is>
          <t>R</t>
        </is>
      </c>
      <c r="B658" s="6" t="n">
        <v>5</v>
      </c>
      <c r="C658" s="6" t="inlineStr">
        <is>
          <t>G</t>
        </is>
      </c>
      <c r="D658" s="12" t="inlineStr">
        <is>
          <t>06</t>
        </is>
      </c>
      <c r="E658" s="7" t="n">
        <v>1</v>
      </c>
      <c r="F658" s="7">
        <f>A658&amp;B658&amp;"-"&amp;C658&amp;E658&amp;"-"&amp;D658</f>
        <v/>
      </c>
    </row>
    <row r="659">
      <c r="A659" s="6" t="inlineStr">
        <is>
          <t>R</t>
        </is>
      </c>
      <c r="B659" s="6" t="n">
        <v>5</v>
      </c>
      <c r="C659" s="6" t="inlineStr">
        <is>
          <t>G</t>
        </is>
      </c>
      <c r="D659" s="12" t="inlineStr">
        <is>
          <t>01</t>
        </is>
      </c>
      <c r="E659" s="7" t="n">
        <v>2</v>
      </c>
      <c r="F659" s="7">
        <f>A659&amp;B659&amp;"-"&amp;C659&amp;E659&amp;"-"&amp;D659</f>
        <v/>
      </c>
    </row>
    <row r="660">
      <c r="A660" s="6" t="inlineStr">
        <is>
          <t>R</t>
        </is>
      </c>
      <c r="B660" s="6" t="n">
        <v>5</v>
      </c>
      <c r="C660" s="6" t="inlineStr">
        <is>
          <t>G</t>
        </is>
      </c>
      <c r="D660" s="12" t="inlineStr">
        <is>
          <t>02</t>
        </is>
      </c>
      <c r="E660" s="7" t="n">
        <v>2</v>
      </c>
      <c r="F660" s="7">
        <f>A660&amp;B660&amp;"-"&amp;C660&amp;E660&amp;"-"&amp;D660</f>
        <v/>
      </c>
    </row>
    <row r="661">
      <c r="A661" s="6" t="inlineStr">
        <is>
          <t>R</t>
        </is>
      </c>
      <c r="B661" s="6" t="n">
        <v>5</v>
      </c>
      <c r="C661" s="6" t="inlineStr">
        <is>
          <t>G</t>
        </is>
      </c>
      <c r="D661" s="12" t="inlineStr">
        <is>
          <t>03</t>
        </is>
      </c>
      <c r="E661" s="7" t="n">
        <v>2</v>
      </c>
      <c r="F661" s="7">
        <f>A661&amp;B661&amp;"-"&amp;C661&amp;E661&amp;"-"&amp;D661</f>
        <v/>
      </c>
    </row>
    <row r="662">
      <c r="A662" s="6" t="inlineStr">
        <is>
          <t>R</t>
        </is>
      </c>
      <c r="B662" s="6" t="n">
        <v>5</v>
      </c>
      <c r="C662" s="6" t="inlineStr">
        <is>
          <t>G</t>
        </is>
      </c>
      <c r="D662" s="12" t="inlineStr">
        <is>
          <t>04</t>
        </is>
      </c>
      <c r="E662" s="7" t="n">
        <v>2</v>
      </c>
      <c r="F662" s="7">
        <f>A662&amp;B662&amp;"-"&amp;C662&amp;E662&amp;"-"&amp;D662</f>
        <v/>
      </c>
    </row>
    <row r="663">
      <c r="A663" s="6" t="inlineStr">
        <is>
          <t>R</t>
        </is>
      </c>
      <c r="B663" s="6" t="n">
        <v>5</v>
      </c>
      <c r="C663" s="6" t="inlineStr">
        <is>
          <t>G</t>
        </is>
      </c>
      <c r="D663" s="12" t="inlineStr">
        <is>
          <t>01</t>
        </is>
      </c>
      <c r="E663" s="7" t="n">
        <v>3</v>
      </c>
      <c r="F663" s="7">
        <f>A663&amp;B663&amp;"-"&amp;C663&amp;E663&amp;"-"&amp;D663</f>
        <v/>
      </c>
    </row>
    <row r="664">
      <c r="A664" s="6" t="inlineStr">
        <is>
          <t>R</t>
        </is>
      </c>
      <c r="B664" s="6" t="n">
        <v>5</v>
      </c>
      <c r="C664" s="6" t="inlineStr">
        <is>
          <t>G</t>
        </is>
      </c>
      <c r="D664" s="12" t="inlineStr">
        <is>
          <t>02</t>
        </is>
      </c>
      <c r="E664" s="7" t="n">
        <v>3</v>
      </c>
      <c r="F664" s="7">
        <f>A664&amp;B664&amp;"-"&amp;C664&amp;E664&amp;"-"&amp;D664</f>
        <v/>
      </c>
    </row>
    <row r="665">
      <c r="A665" s="6" t="inlineStr">
        <is>
          <t>R</t>
        </is>
      </c>
      <c r="B665" s="6" t="n">
        <v>5</v>
      </c>
      <c r="C665" s="6" t="inlineStr">
        <is>
          <t>G</t>
        </is>
      </c>
      <c r="D665" s="12" t="inlineStr">
        <is>
          <t>03</t>
        </is>
      </c>
      <c r="E665" s="7" t="n">
        <v>3</v>
      </c>
      <c r="F665" s="7">
        <f>A665&amp;B665&amp;"-"&amp;C665&amp;E665&amp;"-"&amp;D665</f>
        <v/>
      </c>
    </row>
    <row r="666">
      <c r="A666" s="6" t="inlineStr">
        <is>
          <t>R</t>
        </is>
      </c>
      <c r="B666" s="6" t="n">
        <v>5</v>
      </c>
      <c r="C666" s="6" t="inlineStr">
        <is>
          <t>G</t>
        </is>
      </c>
      <c r="D666" s="12" t="inlineStr">
        <is>
          <t>04</t>
        </is>
      </c>
      <c r="E666" s="7" t="n">
        <v>3</v>
      </c>
      <c r="F666" s="7">
        <f>A666&amp;B666&amp;"-"&amp;C666&amp;E666&amp;"-"&amp;D666</f>
        <v/>
      </c>
    </row>
    <row r="667">
      <c r="A667" s="6" t="inlineStr">
        <is>
          <t>R</t>
        </is>
      </c>
      <c r="B667" s="6" t="n">
        <v>5</v>
      </c>
      <c r="C667" s="6" t="inlineStr">
        <is>
          <t>G</t>
        </is>
      </c>
      <c r="D667" s="12" t="inlineStr">
        <is>
          <t>05</t>
        </is>
      </c>
      <c r="E667" s="7" t="n">
        <v>3</v>
      </c>
      <c r="F667" s="7">
        <f>A667&amp;B667&amp;"-"&amp;C667&amp;E667&amp;"-"&amp;D667</f>
        <v/>
      </c>
    </row>
    <row r="668">
      <c r="A668" s="6" t="inlineStr">
        <is>
          <t>R</t>
        </is>
      </c>
      <c r="B668" s="6" t="n">
        <v>5</v>
      </c>
      <c r="C668" s="6" t="inlineStr">
        <is>
          <t>G</t>
        </is>
      </c>
      <c r="D668" s="12" t="inlineStr">
        <is>
          <t>06</t>
        </is>
      </c>
      <c r="E668" s="7" t="n">
        <v>3</v>
      </c>
      <c r="F668" s="7">
        <f>A668&amp;B668&amp;"-"&amp;C668&amp;E668&amp;"-"&amp;D668</f>
        <v/>
      </c>
    </row>
    <row r="669">
      <c r="A669" s="6" t="inlineStr">
        <is>
          <t>R</t>
        </is>
      </c>
      <c r="B669" s="6" t="n">
        <v>5</v>
      </c>
      <c r="C669" s="6" t="inlineStr">
        <is>
          <t>G</t>
        </is>
      </c>
      <c r="D669" s="12" t="inlineStr">
        <is>
          <t>07</t>
        </is>
      </c>
      <c r="E669" s="7" t="n">
        <v>3</v>
      </c>
      <c r="F669" s="7">
        <f>A669&amp;B669&amp;"-"&amp;C669&amp;E669&amp;"-"&amp;D669</f>
        <v/>
      </c>
    </row>
    <row r="670">
      <c r="A670" s="6" t="inlineStr">
        <is>
          <t>R</t>
        </is>
      </c>
      <c r="B670" s="6" t="n">
        <v>5</v>
      </c>
      <c r="C670" s="6" t="inlineStr">
        <is>
          <t>G</t>
        </is>
      </c>
      <c r="D670" s="12" t="inlineStr">
        <is>
          <t>08</t>
        </is>
      </c>
      <c r="E670" s="7" t="n">
        <v>3</v>
      </c>
      <c r="F670" s="7">
        <f>A670&amp;B670&amp;"-"&amp;C670&amp;E670&amp;"-"&amp;D670</f>
        <v/>
      </c>
    </row>
    <row r="671">
      <c r="A671" s="6" t="inlineStr">
        <is>
          <t>R</t>
        </is>
      </c>
      <c r="B671" s="6" t="n">
        <v>5</v>
      </c>
      <c r="C671" s="6" t="inlineStr">
        <is>
          <t>G</t>
        </is>
      </c>
      <c r="D671" s="12" t="inlineStr">
        <is>
          <t>01</t>
        </is>
      </c>
      <c r="E671" s="7" t="n">
        <v>4</v>
      </c>
      <c r="F671" s="7">
        <f>A671&amp;B671&amp;"-"&amp;C671&amp;E671&amp;"-"&amp;D671</f>
        <v/>
      </c>
    </row>
    <row r="672">
      <c r="A672" s="6" t="inlineStr">
        <is>
          <t>R</t>
        </is>
      </c>
      <c r="B672" s="6" t="n">
        <v>5</v>
      </c>
      <c r="C672" s="6" t="inlineStr">
        <is>
          <t>G</t>
        </is>
      </c>
      <c r="D672" s="12" t="inlineStr">
        <is>
          <t>02</t>
        </is>
      </c>
      <c r="E672" s="7" t="n">
        <v>4</v>
      </c>
      <c r="F672" s="7">
        <f>A672&amp;B672&amp;"-"&amp;C672&amp;E672&amp;"-"&amp;D672</f>
        <v/>
      </c>
    </row>
    <row r="673">
      <c r="A673" s="6" t="inlineStr">
        <is>
          <t>R</t>
        </is>
      </c>
      <c r="B673" s="6" t="n">
        <v>5</v>
      </c>
      <c r="C673" s="6" t="inlineStr">
        <is>
          <t>G</t>
        </is>
      </c>
      <c r="D673" s="12" t="inlineStr">
        <is>
          <t>03</t>
        </is>
      </c>
      <c r="E673" s="7" t="n">
        <v>4</v>
      </c>
      <c r="F673" s="7">
        <f>A673&amp;B673&amp;"-"&amp;C673&amp;E673&amp;"-"&amp;D673</f>
        <v/>
      </c>
    </row>
    <row r="674">
      <c r="A674" s="6" t="inlineStr">
        <is>
          <t>R</t>
        </is>
      </c>
      <c r="B674" s="6" t="n">
        <v>5</v>
      </c>
      <c r="C674" s="6" t="inlineStr">
        <is>
          <t>G</t>
        </is>
      </c>
      <c r="D674" s="12" t="inlineStr">
        <is>
          <t>04</t>
        </is>
      </c>
      <c r="E674" s="7" t="n">
        <v>4</v>
      </c>
      <c r="F674" s="7">
        <f>A674&amp;B674&amp;"-"&amp;C674&amp;E674&amp;"-"&amp;D674</f>
        <v/>
      </c>
    </row>
    <row r="675">
      <c r="A675" s="6" t="inlineStr">
        <is>
          <t>R</t>
        </is>
      </c>
      <c r="B675" s="6" t="n">
        <v>5</v>
      </c>
      <c r="C675" s="6" t="inlineStr">
        <is>
          <t>G</t>
        </is>
      </c>
      <c r="D675" s="12" t="inlineStr">
        <is>
          <t>05</t>
        </is>
      </c>
      <c r="E675" s="7" t="n">
        <v>4</v>
      </c>
      <c r="F675" s="7">
        <f>A675&amp;B675&amp;"-"&amp;C675&amp;E675&amp;"-"&amp;D675</f>
        <v/>
      </c>
    </row>
    <row r="676">
      <c r="A676" s="6" t="inlineStr">
        <is>
          <t>R</t>
        </is>
      </c>
      <c r="B676" s="6" t="n">
        <v>5</v>
      </c>
      <c r="C676" s="6" t="inlineStr">
        <is>
          <t>G</t>
        </is>
      </c>
      <c r="D676" s="12" t="inlineStr">
        <is>
          <t>06</t>
        </is>
      </c>
      <c r="E676" s="7" t="n">
        <v>4</v>
      </c>
      <c r="F676" s="7">
        <f>A676&amp;B676&amp;"-"&amp;C676&amp;E676&amp;"-"&amp;D676</f>
        <v/>
      </c>
    </row>
    <row r="677">
      <c r="A677" s="6" t="inlineStr">
        <is>
          <t>R</t>
        </is>
      </c>
      <c r="B677" s="6" t="n">
        <v>5</v>
      </c>
      <c r="C677" s="6" t="inlineStr">
        <is>
          <t>G</t>
        </is>
      </c>
      <c r="D677" s="12" t="inlineStr">
        <is>
          <t>07</t>
        </is>
      </c>
      <c r="E677" s="7" t="n">
        <v>4</v>
      </c>
      <c r="F677" s="7">
        <f>A677&amp;B677&amp;"-"&amp;C677&amp;E677&amp;"-"&amp;D677</f>
        <v/>
      </c>
    </row>
    <row r="678">
      <c r="A678" s="6" t="inlineStr">
        <is>
          <t>R</t>
        </is>
      </c>
      <c r="B678" s="6" t="n">
        <v>5</v>
      </c>
      <c r="C678" s="6" t="inlineStr">
        <is>
          <t>G</t>
        </is>
      </c>
      <c r="D678" s="12" t="inlineStr">
        <is>
          <t>08</t>
        </is>
      </c>
      <c r="E678" s="7" t="n">
        <v>4</v>
      </c>
      <c r="F678" s="7">
        <f>A678&amp;B678&amp;"-"&amp;C678&amp;E678&amp;"-"&amp;D678</f>
        <v/>
      </c>
    </row>
    <row r="679">
      <c r="A679" s="8" t="inlineStr">
        <is>
          <t>R</t>
        </is>
      </c>
      <c r="B679" s="8" t="n">
        <v>5</v>
      </c>
      <c r="C679" s="8" t="inlineStr">
        <is>
          <t>G</t>
        </is>
      </c>
      <c r="D679" s="13" t="inlineStr">
        <is>
          <t>01</t>
        </is>
      </c>
      <c r="E679" s="9" t="inlineStr">
        <is>
          <t>M</t>
        </is>
      </c>
      <c r="F679" s="9">
        <f>A679&amp;B679&amp;"-"&amp;C679&amp;E679&amp;"-"&amp;D679</f>
        <v/>
      </c>
    </row>
    <row r="680">
      <c r="A680" s="8" t="inlineStr">
        <is>
          <t>R</t>
        </is>
      </c>
      <c r="B680" s="8" t="n">
        <v>5</v>
      </c>
      <c r="C680" s="21" t="inlineStr">
        <is>
          <t>H</t>
        </is>
      </c>
      <c r="D680" s="13" t="inlineStr">
        <is>
          <t>02</t>
        </is>
      </c>
      <c r="E680" s="9" t="inlineStr">
        <is>
          <t>M</t>
        </is>
      </c>
      <c r="F680" s="9">
        <f>A680&amp;B680&amp;"-"&amp;C680&amp;E680&amp;"-"&amp;D680</f>
        <v/>
      </c>
    </row>
    <row r="681">
      <c r="A681" s="6" t="inlineStr">
        <is>
          <t>R</t>
        </is>
      </c>
      <c r="B681" s="6" t="n">
        <v>5</v>
      </c>
      <c r="C681" s="6" t="inlineStr">
        <is>
          <t>H</t>
        </is>
      </c>
      <c r="D681" s="12" t="inlineStr">
        <is>
          <t>01</t>
        </is>
      </c>
      <c r="E681" s="7" t="n">
        <v>1</v>
      </c>
      <c r="F681" s="7">
        <f>A681&amp;B681&amp;"-"&amp;C681&amp;E681&amp;"-"&amp;D681</f>
        <v/>
      </c>
    </row>
    <row r="682">
      <c r="A682" s="6" t="inlineStr">
        <is>
          <t>R</t>
        </is>
      </c>
      <c r="B682" s="6" t="n">
        <v>5</v>
      </c>
      <c r="C682" s="6" t="inlineStr">
        <is>
          <t>H</t>
        </is>
      </c>
      <c r="D682" s="12" t="inlineStr">
        <is>
          <t>02</t>
        </is>
      </c>
      <c r="E682" s="7" t="n">
        <v>1</v>
      </c>
      <c r="F682" s="7">
        <f>A682&amp;B682&amp;"-"&amp;C682&amp;E682&amp;"-"&amp;D682</f>
        <v/>
      </c>
    </row>
    <row r="683">
      <c r="A683" s="6" t="inlineStr">
        <is>
          <t>R</t>
        </is>
      </c>
      <c r="B683" s="6" t="n">
        <v>5</v>
      </c>
      <c r="C683" s="6" t="inlineStr">
        <is>
          <t>H</t>
        </is>
      </c>
      <c r="D683" s="12" t="inlineStr">
        <is>
          <t>03</t>
        </is>
      </c>
      <c r="E683" s="7" t="n">
        <v>1</v>
      </c>
      <c r="F683" s="7">
        <f>A683&amp;B683&amp;"-"&amp;C683&amp;E683&amp;"-"&amp;D683</f>
        <v/>
      </c>
    </row>
    <row r="684">
      <c r="A684" s="6" t="inlineStr">
        <is>
          <t>R</t>
        </is>
      </c>
      <c r="B684" s="6" t="n">
        <v>5</v>
      </c>
      <c r="C684" s="14" t="inlineStr">
        <is>
          <t>H</t>
        </is>
      </c>
      <c r="D684" s="15" t="inlineStr">
        <is>
          <t>04</t>
        </is>
      </c>
      <c r="E684" s="16" t="n">
        <v>1</v>
      </c>
      <c r="F684" s="7">
        <f>A684&amp;B684&amp;"-"&amp;C684&amp;E684&amp;"-"&amp;D684</f>
        <v/>
      </c>
    </row>
    <row r="685">
      <c r="A685" s="6" t="inlineStr">
        <is>
          <t>R</t>
        </is>
      </c>
      <c r="B685" s="6" t="n">
        <v>5</v>
      </c>
      <c r="C685" s="14" t="inlineStr">
        <is>
          <t>H</t>
        </is>
      </c>
      <c r="D685" s="15" t="inlineStr">
        <is>
          <t>05</t>
        </is>
      </c>
      <c r="E685" s="16" t="n">
        <v>1</v>
      </c>
      <c r="F685" s="7">
        <f>A685&amp;B685&amp;"-"&amp;C685&amp;E685&amp;"-"&amp;D685</f>
        <v/>
      </c>
    </row>
    <row r="686">
      <c r="A686" s="6" t="inlineStr">
        <is>
          <t>R</t>
        </is>
      </c>
      <c r="B686" s="6" t="n">
        <v>5</v>
      </c>
      <c r="C686" s="6" t="inlineStr">
        <is>
          <t>H</t>
        </is>
      </c>
      <c r="D686" s="12" t="inlineStr">
        <is>
          <t>06</t>
        </is>
      </c>
      <c r="E686" s="7" t="n">
        <v>1</v>
      </c>
      <c r="F686" s="7">
        <f>A686&amp;B686&amp;"-"&amp;C686&amp;E686&amp;"-"&amp;D686</f>
        <v/>
      </c>
    </row>
    <row r="687">
      <c r="A687" s="6" t="inlineStr">
        <is>
          <t>R</t>
        </is>
      </c>
      <c r="B687" s="6" t="n">
        <v>5</v>
      </c>
      <c r="C687" s="6" t="inlineStr">
        <is>
          <t>H</t>
        </is>
      </c>
      <c r="D687" s="12" t="inlineStr">
        <is>
          <t>07</t>
        </is>
      </c>
      <c r="E687" s="7" t="n">
        <v>1</v>
      </c>
      <c r="F687" s="7">
        <f>A687&amp;B687&amp;"-"&amp;C687&amp;E687&amp;"-"&amp;D687</f>
        <v/>
      </c>
    </row>
    <row r="688">
      <c r="A688" s="6" t="inlineStr">
        <is>
          <t>R</t>
        </is>
      </c>
      <c r="B688" s="6" t="n">
        <v>5</v>
      </c>
      <c r="C688" s="6" t="inlineStr">
        <is>
          <t>H</t>
        </is>
      </c>
      <c r="D688" s="12" t="inlineStr">
        <is>
          <t>08</t>
        </is>
      </c>
      <c r="E688" s="7" t="n">
        <v>1</v>
      </c>
      <c r="F688" s="7">
        <f>A688&amp;B688&amp;"-"&amp;C688&amp;E688&amp;"-"&amp;D688</f>
        <v/>
      </c>
    </row>
    <row r="689">
      <c r="A689" s="6" t="inlineStr">
        <is>
          <t>R</t>
        </is>
      </c>
      <c r="B689" s="6" t="n">
        <v>5</v>
      </c>
      <c r="C689" s="6" t="inlineStr">
        <is>
          <t>H</t>
        </is>
      </c>
      <c r="D689" s="12" t="inlineStr">
        <is>
          <t>01</t>
        </is>
      </c>
      <c r="E689" s="7" t="n">
        <v>2</v>
      </c>
      <c r="F689" s="7">
        <f>A689&amp;B689&amp;"-"&amp;C689&amp;E689&amp;"-"&amp;D689</f>
        <v/>
      </c>
    </row>
    <row r="690">
      <c r="A690" s="6" t="inlineStr">
        <is>
          <t>R</t>
        </is>
      </c>
      <c r="B690" s="6" t="n">
        <v>5</v>
      </c>
      <c r="C690" s="6" t="inlineStr">
        <is>
          <t>H</t>
        </is>
      </c>
      <c r="D690" s="12" t="inlineStr">
        <is>
          <t>02</t>
        </is>
      </c>
      <c r="E690" s="7" t="n">
        <v>2</v>
      </c>
      <c r="F690" s="7">
        <f>A690&amp;B690&amp;"-"&amp;C690&amp;E690&amp;"-"&amp;D690</f>
        <v/>
      </c>
    </row>
    <row r="691">
      <c r="A691" s="6" t="inlineStr">
        <is>
          <t>R</t>
        </is>
      </c>
      <c r="B691" s="6" t="n">
        <v>5</v>
      </c>
      <c r="C691" s="6" t="inlineStr">
        <is>
          <t>H</t>
        </is>
      </c>
      <c r="D691" s="12" t="inlineStr">
        <is>
          <t>03</t>
        </is>
      </c>
      <c r="E691" s="7" t="n">
        <v>2</v>
      </c>
      <c r="F691" s="7">
        <f>A691&amp;B691&amp;"-"&amp;C691&amp;E691&amp;"-"&amp;D691</f>
        <v/>
      </c>
    </row>
    <row r="692">
      <c r="A692" s="6" t="inlineStr">
        <is>
          <t>R</t>
        </is>
      </c>
      <c r="B692" s="6" t="n">
        <v>5</v>
      </c>
      <c r="C692" s="6" t="inlineStr">
        <is>
          <t>H</t>
        </is>
      </c>
      <c r="D692" s="12" t="inlineStr">
        <is>
          <t>04</t>
        </is>
      </c>
      <c r="E692" s="7" t="n">
        <v>2</v>
      </c>
      <c r="F692" s="7">
        <f>A692&amp;B692&amp;"-"&amp;C692&amp;E692&amp;"-"&amp;D692</f>
        <v/>
      </c>
    </row>
    <row r="693">
      <c r="A693" s="6" t="inlineStr">
        <is>
          <t>R</t>
        </is>
      </c>
      <c r="B693" s="6" t="n">
        <v>5</v>
      </c>
      <c r="C693" s="6" t="inlineStr">
        <is>
          <t>H</t>
        </is>
      </c>
      <c r="D693" s="12" t="inlineStr">
        <is>
          <t>05</t>
        </is>
      </c>
      <c r="E693" s="7" t="n">
        <v>2</v>
      </c>
      <c r="F693" s="7">
        <f>A693&amp;B693&amp;"-"&amp;C693&amp;E693&amp;"-"&amp;D693</f>
        <v/>
      </c>
    </row>
    <row r="694">
      <c r="A694" s="6" t="inlineStr">
        <is>
          <t>R</t>
        </is>
      </c>
      <c r="B694" s="6" t="n">
        <v>5</v>
      </c>
      <c r="C694" s="6" t="inlineStr">
        <is>
          <t>H</t>
        </is>
      </c>
      <c r="D694" s="12" t="inlineStr">
        <is>
          <t>06</t>
        </is>
      </c>
      <c r="E694" s="7" t="n">
        <v>2</v>
      </c>
      <c r="F694" s="7">
        <f>A694&amp;B694&amp;"-"&amp;C694&amp;E694&amp;"-"&amp;D694</f>
        <v/>
      </c>
    </row>
    <row r="695">
      <c r="A695" s="6" t="inlineStr">
        <is>
          <t>R</t>
        </is>
      </c>
      <c r="B695" s="6" t="n">
        <v>5</v>
      </c>
      <c r="C695" s="6" t="inlineStr">
        <is>
          <t>H</t>
        </is>
      </c>
      <c r="D695" s="12" t="inlineStr">
        <is>
          <t>07</t>
        </is>
      </c>
      <c r="E695" s="7" t="n">
        <v>2</v>
      </c>
      <c r="F695" s="7">
        <f>A695&amp;B695&amp;"-"&amp;C695&amp;E695&amp;"-"&amp;D695</f>
        <v/>
      </c>
    </row>
    <row r="696">
      <c r="A696" s="6" t="inlineStr">
        <is>
          <t>R</t>
        </is>
      </c>
      <c r="B696" s="6" t="n">
        <v>5</v>
      </c>
      <c r="C696" s="6" t="inlineStr">
        <is>
          <t>H</t>
        </is>
      </c>
      <c r="D696" s="12" t="inlineStr">
        <is>
          <t>08</t>
        </is>
      </c>
      <c r="E696" s="7" t="n">
        <v>2</v>
      </c>
      <c r="F696" s="7">
        <f>A696&amp;B696&amp;"-"&amp;C696&amp;E696&amp;"-"&amp;D696</f>
        <v/>
      </c>
    </row>
    <row r="697">
      <c r="A697" s="6" t="inlineStr">
        <is>
          <t>R</t>
        </is>
      </c>
      <c r="B697" s="6" t="n">
        <v>5</v>
      </c>
      <c r="C697" s="6" t="inlineStr">
        <is>
          <t>H</t>
        </is>
      </c>
      <c r="D697" s="12" t="inlineStr">
        <is>
          <t>01</t>
        </is>
      </c>
      <c r="E697" s="7" t="n">
        <v>3</v>
      </c>
      <c r="F697" s="7">
        <f>A697&amp;B697&amp;"-"&amp;C697&amp;E697&amp;"-"&amp;D697</f>
        <v/>
      </c>
    </row>
    <row r="698">
      <c r="A698" s="6" t="inlineStr">
        <is>
          <t>R</t>
        </is>
      </c>
      <c r="B698" s="6" t="n">
        <v>5</v>
      </c>
      <c r="C698" s="6" t="inlineStr">
        <is>
          <t>H</t>
        </is>
      </c>
      <c r="D698" s="12" t="inlineStr">
        <is>
          <t>02</t>
        </is>
      </c>
      <c r="E698" s="7" t="n">
        <v>3</v>
      </c>
      <c r="F698" s="7">
        <f>A698&amp;B698&amp;"-"&amp;C698&amp;E698&amp;"-"&amp;D698</f>
        <v/>
      </c>
    </row>
    <row r="699">
      <c r="A699" s="6" t="inlineStr">
        <is>
          <t>R</t>
        </is>
      </c>
      <c r="B699" s="6" t="n">
        <v>5</v>
      </c>
      <c r="C699" s="6" t="inlineStr">
        <is>
          <t>H</t>
        </is>
      </c>
      <c r="D699" s="12" t="inlineStr">
        <is>
          <t>03</t>
        </is>
      </c>
      <c r="E699" s="7" t="n">
        <v>3</v>
      </c>
      <c r="F699" s="7">
        <f>A699&amp;B699&amp;"-"&amp;C699&amp;E699&amp;"-"&amp;D699</f>
        <v/>
      </c>
    </row>
    <row r="700">
      <c r="A700" s="6" t="inlineStr">
        <is>
          <t>R</t>
        </is>
      </c>
      <c r="B700" s="6" t="n">
        <v>5</v>
      </c>
      <c r="C700" s="6" t="inlineStr">
        <is>
          <t>H</t>
        </is>
      </c>
      <c r="D700" s="12" t="inlineStr">
        <is>
          <t>04</t>
        </is>
      </c>
      <c r="E700" s="7" t="n">
        <v>3</v>
      </c>
      <c r="F700" s="7">
        <f>A700&amp;B700&amp;"-"&amp;C700&amp;E700&amp;"-"&amp;D700</f>
        <v/>
      </c>
    </row>
    <row r="701">
      <c r="A701" s="6" t="inlineStr">
        <is>
          <t>R</t>
        </is>
      </c>
      <c r="B701" s="6" t="n">
        <v>5</v>
      </c>
      <c r="C701" s="6" t="inlineStr">
        <is>
          <t>H</t>
        </is>
      </c>
      <c r="D701" s="12" t="inlineStr">
        <is>
          <t>05</t>
        </is>
      </c>
      <c r="E701" s="7" t="n">
        <v>3</v>
      </c>
      <c r="F701" s="7">
        <f>A701&amp;B701&amp;"-"&amp;C701&amp;E701&amp;"-"&amp;D701</f>
        <v/>
      </c>
    </row>
    <row r="702">
      <c r="A702" s="6" t="inlineStr">
        <is>
          <t>R</t>
        </is>
      </c>
      <c r="B702" s="6" t="n">
        <v>5</v>
      </c>
      <c r="C702" s="6" t="inlineStr">
        <is>
          <t>H</t>
        </is>
      </c>
      <c r="D702" s="12" t="inlineStr">
        <is>
          <t>06</t>
        </is>
      </c>
      <c r="E702" s="7" t="n">
        <v>3</v>
      </c>
      <c r="F702" s="7">
        <f>A702&amp;B702&amp;"-"&amp;C702&amp;E702&amp;"-"&amp;D702</f>
        <v/>
      </c>
    </row>
    <row r="703">
      <c r="A703" s="6" t="inlineStr">
        <is>
          <t>R</t>
        </is>
      </c>
      <c r="B703" s="6" t="n">
        <v>5</v>
      </c>
      <c r="C703" s="6" t="inlineStr">
        <is>
          <t>H</t>
        </is>
      </c>
      <c r="D703" s="12" t="inlineStr">
        <is>
          <t>01</t>
        </is>
      </c>
      <c r="E703" s="7" t="n">
        <v>4</v>
      </c>
      <c r="F703" s="7">
        <f>A703&amp;B703&amp;"-"&amp;C703&amp;E703&amp;"-"&amp;D703</f>
        <v/>
      </c>
    </row>
    <row r="704">
      <c r="A704" s="6" t="inlineStr">
        <is>
          <t>R</t>
        </is>
      </c>
      <c r="B704" s="6" t="n">
        <v>5</v>
      </c>
      <c r="C704" s="6" t="inlineStr">
        <is>
          <t>H</t>
        </is>
      </c>
      <c r="D704" s="12" t="inlineStr">
        <is>
          <t>02</t>
        </is>
      </c>
      <c r="E704" s="7" t="n">
        <v>4</v>
      </c>
      <c r="F704" s="7">
        <f>A704&amp;B704&amp;"-"&amp;C704&amp;E704&amp;"-"&amp;D704</f>
        <v/>
      </c>
    </row>
    <row r="705">
      <c r="A705" s="6" t="inlineStr">
        <is>
          <t>R</t>
        </is>
      </c>
      <c r="B705" s="6" t="n">
        <v>5</v>
      </c>
      <c r="C705" s="6" t="inlineStr">
        <is>
          <t>H</t>
        </is>
      </c>
      <c r="D705" s="12" t="inlineStr">
        <is>
          <t>03</t>
        </is>
      </c>
      <c r="E705" s="7" t="n">
        <v>4</v>
      </c>
      <c r="F705" s="7">
        <f>A705&amp;B705&amp;"-"&amp;C705&amp;E705&amp;"-"&amp;D705</f>
        <v/>
      </c>
    </row>
    <row r="706">
      <c r="A706" s="6" t="inlineStr">
        <is>
          <t>R</t>
        </is>
      </c>
      <c r="B706" s="6" t="n">
        <v>5</v>
      </c>
      <c r="C706" s="6" t="inlineStr">
        <is>
          <t>H</t>
        </is>
      </c>
      <c r="D706" s="12" t="inlineStr">
        <is>
          <t>04</t>
        </is>
      </c>
      <c r="E706" s="7" t="n">
        <v>4</v>
      </c>
      <c r="F706" s="7">
        <f>A706&amp;B706&amp;"-"&amp;C706&amp;E706&amp;"-"&amp;D706</f>
        <v/>
      </c>
    </row>
    <row r="707">
      <c r="A707" s="6" t="inlineStr">
        <is>
          <t>R</t>
        </is>
      </c>
      <c r="B707" s="6" t="n">
        <v>5</v>
      </c>
      <c r="C707" s="6" t="inlineStr">
        <is>
          <t>H</t>
        </is>
      </c>
      <c r="D707" s="12" t="inlineStr">
        <is>
          <t>05</t>
        </is>
      </c>
      <c r="E707" s="7" t="n">
        <v>4</v>
      </c>
      <c r="F707" s="7">
        <f>A707&amp;B707&amp;"-"&amp;C707&amp;E707&amp;"-"&amp;D707</f>
        <v/>
      </c>
    </row>
    <row r="708">
      <c r="A708" s="6" t="inlineStr">
        <is>
          <t>R</t>
        </is>
      </c>
      <c r="B708" s="6" t="n">
        <v>5</v>
      </c>
      <c r="C708" s="6" t="inlineStr">
        <is>
          <t>H</t>
        </is>
      </c>
      <c r="D708" s="12" t="inlineStr">
        <is>
          <t>06</t>
        </is>
      </c>
      <c r="E708" s="7" t="n">
        <v>4</v>
      </c>
      <c r="F708" s="7">
        <f>A708&amp;B708&amp;"-"&amp;C708&amp;E708&amp;"-"&amp;D708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+cNmLlFQ9N0LOMcWe4RFQ==" formatRows="1" sort="1" spinCount="100000" hashValue="KPbyL3zxzNH7Iog/AIXtH05mVDGWvZfXS/s5LO/2jiBqvi4XvCr938EpVeig8zpRZzNvnM+5SluKqJoMOO2CJg=="/>
  <autoFilter ref="A1:G708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1"/>
    <outlinePr summaryBelow="1" summaryRight="1"/>
    <pageSetUpPr/>
  </sheetPr>
  <dimension ref="A3:J14"/>
  <sheetViews>
    <sheetView topLeftCell="L1" workbookViewId="0">
      <selection activeCell="A1" sqref="A1:K1048576"/>
    </sheetView>
  </sheetViews>
  <sheetFormatPr baseColWidth="8" defaultColWidth="8.7109375" defaultRowHeight="15"/>
  <cols>
    <col hidden="1" outlineLevel="1" width="26.7109375" customWidth="1" min="1" max="1"/>
    <col hidden="1" outlineLevel="1" width="5.7109375" customWidth="1" min="2" max="9"/>
    <col hidden="1" outlineLevel="1" width="11" customWidth="1" min="10" max="10"/>
    <col hidden="1" outlineLevel="1" min="11" max="11"/>
    <col collapsed="1" width="8.7109375" customWidth="1" min="12" max="12"/>
    <col width="31.140625" bestFit="1" customWidth="1" min="16" max="16"/>
    <col width="23" bestFit="1" customWidth="1" min="17" max="17"/>
    <col width="31.7109375" bestFit="1" customWidth="1" min="18" max="18"/>
    <col width="11" customWidth="1" min="19" max="25"/>
  </cols>
  <sheetData>
    <row r="3">
      <c r="A3" s="17" t="inlineStr">
        <is>
          <t>Count of Desk number - Final</t>
        </is>
      </c>
      <c r="B3" s="17" t="inlineStr">
        <is>
          <t>Column Labels</t>
        </is>
      </c>
    </row>
    <row r="4">
      <c r="A4" s="17" t="inlineStr">
        <is>
          <t>Row Labels</t>
        </is>
      </c>
      <c r="B4" s="20" t="inlineStr">
        <is>
          <t>A</t>
        </is>
      </c>
      <c r="C4" s="20" t="inlineStr">
        <is>
          <t>B</t>
        </is>
      </c>
      <c r="D4" s="20" t="inlineStr">
        <is>
          <t>C</t>
        </is>
      </c>
      <c r="E4" s="20" t="inlineStr">
        <is>
          <t>D</t>
        </is>
      </c>
      <c r="F4" s="20" t="inlineStr">
        <is>
          <t>E</t>
        </is>
      </c>
      <c r="G4" s="20" t="inlineStr">
        <is>
          <t>F</t>
        </is>
      </c>
      <c r="H4" s="20" t="inlineStr">
        <is>
          <t>G</t>
        </is>
      </c>
      <c r="I4" s="20" t="inlineStr">
        <is>
          <t>H</t>
        </is>
      </c>
      <c r="J4" t="inlineStr">
        <is>
          <t>Grand Total</t>
        </is>
      </c>
    </row>
    <row r="5">
      <c r="A5" s="18" t="inlineStr">
        <is>
          <t>T</t>
        </is>
      </c>
      <c r="B5" t="n">
        <v>105</v>
      </c>
      <c r="C5" t="n">
        <v>38</v>
      </c>
      <c r="D5" t="n">
        <v>155</v>
      </c>
      <c r="E5" t="n">
        <v>88</v>
      </c>
      <c r="J5" t="n">
        <v>386</v>
      </c>
    </row>
    <row r="6">
      <c r="A6" s="19" t="n">
        <v>3</v>
      </c>
      <c r="B6" t="n">
        <v>18</v>
      </c>
      <c r="C6" t="n">
        <v>5</v>
      </c>
      <c r="D6" t="n">
        <v>41</v>
      </c>
      <c r="E6" t="n">
        <v>16</v>
      </c>
      <c r="J6" t="n">
        <v>80</v>
      </c>
    </row>
    <row r="7">
      <c r="A7" s="19" t="n">
        <v>4</v>
      </c>
      <c r="B7" t="n">
        <v>29</v>
      </c>
      <c r="C7" t="n">
        <v>11</v>
      </c>
      <c r="D7" t="n">
        <v>38</v>
      </c>
      <c r="E7" t="n">
        <v>24</v>
      </c>
      <c r="J7" t="n">
        <v>102</v>
      </c>
    </row>
    <row r="8">
      <c r="A8" s="19" t="n">
        <v>5</v>
      </c>
      <c r="B8" t="n">
        <v>29</v>
      </c>
      <c r="C8" t="n">
        <v>11</v>
      </c>
      <c r="D8" t="n">
        <v>38</v>
      </c>
      <c r="E8" t="n">
        <v>24</v>
      </c>
      <c r="J8" t="n">
        <v>102</v>
      </c>
    </row>
    <row r="9">
      <c r="A9" s="19" t="n">
        <v>6</v>
      </c>
      <c r="B9" t="n">
        <v>29</v>
      </c>
      <c r="C9" t="n">
        <v>11</v>
      </c>
      <c r="D9" t="n">
        <v>38</v>
      </c>
      <c r="E9" t="n">
        <v>24</v>
      </c>
      <c r="J9" t="n">
        <v>102</v>
      </c>
    </row>
    <row r="10">
      <c r="A10" s="18" t="inlineStr">
        <is>
          <t>R</t>
        </is>
      </c>
      <c r="F10" t="n">
        <v>66</v>
      </c>
      <c r="G10" t="n">
        <v>87</v>
      </c>
      <c r="H10" t="n">
        <v>81</v>
      </c>
      <c r="I10" t="n">
        <v>87</v>
      </c>
      <c r="J10" t="n">
        <v>321</v>
      </c>
    </row>
    <row r="11">
      <c r="A11" s="19" t="n">
        <v>3</v>
      </c>
      <c r="F11" t="n">
        <v>22</v>
      </c>
      <c r="G11" t="n">
        <v>29</v>
      </c>
      <c r="H11" t="n">
        <v>27</v>
      </c>
      <c r="I11" t="n">
        <v>29</v>
      </c>
      <c r="J11" t="n">
        <v>107</v>
      </c>
    </row>
    <row r="12">
      <c r="A12" s="19" t="n">
        <v>4</v>
      </c>
      <c r="F12" t="n">
        <v>22</v>
      </c>
      <c r="G12" t="n">
        <v>29</v>
      </c>
      <c r="H12" t="n">
        <v>27</v>
      </c>
      <c r="I12" t="n">
        <v>29</v>
      </c>
      <c r="J12" t="n">
        <v>107</v>
      </c>
    </row>
    <row r="13">
      <c r="A13" s="19" t="n">
        <v>5</v>
      </c>
      <c r="F13" t="n">
        <v>22</v>
      </c>
      <c r="G13" t="n">
        <v>29</v>
      </c>
      <c r="H13" t="n">
        <v>27</v>
      </c>
      <c r="I13" t="n">
        <v>29</v>
      </c>
      <c r="J13" t="n">
        <v>107</v>
      </c>
    </row>
    <row r="14">
      <c r="A14" s="18" t="inlineStr">
        <is>
          <t>Grand Total</t>
        </is>
      </c>
      <c r="B14" t="n">
        <v>105</v>
      </c>
      <c r="C14" t="n">
        <v>38</v>
      </c>
      <c r="D14" t="n">
        <v>155</v>
      </c>
      <c r="E14" t="n">
        <v>88</v>
      </c>
      <c r="F14" t="n">
        <v>66</v>
      </c>
      <c r="G14" t="n">
        <v>87</v>
      </c>
      <c r="H14" t="n">
        <v>81</v>
      </c>
      <c r="I14" t="n">
        <v>87</v>
      </c>
      <c r="J14" t="n">
        <v>707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4u2hvOh7FBrxo1uJHmlqTQ==" formatRows="1" sort="1" spinCount="100000" hashValue="G+OelFTXXJ4B3y4LEsmHtTpbXQCbP9TToiHTMvePBFTcp/HMow9uCZgQ+/QVzdTl8HV8ONLQJDYZlUphlZ9ghA==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J29"/>
  <sheetViews>
    <sheetView topLeftCell="L1" workbookViewId="0">
      <selection activeCell="B1" sqref="B1:K1048576"/>
    </sheetView>
  </sheetViews>
  <sheetFormatPr baseColWidth="8" defaultColWidth="8.7109375" defaultRowHeight="15"/>
  <cols>
    <col width="31.140625" bestFit="1" customWidth="1" min="1" max="1"/>
    <col hidden="1" outlineLevel="1" width="23" customWidth="1" min="2" max="2"/>
    <col hidden="1" outlineLevel="1" width="31.7109375" customWidth="1" min="3" max="3"/>
    <col hidden="1" outlineLevel="1" min="4" max="11"/>
    <col collapsed="1" width="8.7109375" customWidth="1" min="12" max="12"/>
  </cols>
  <sheetData>
    <row r="3" ht="15.95" customHeight="1">
      <c r="A3" s="24" t="inlineStr">
        <is>
          <t>Team</t>
        </is>
      </c>
      <c r="B3" s="24" t="inlineStr">
        <is>
          <t>Department Lead</t>
        </is>
      </c>
      <c r="C3" s="25" t="inlineStr">
        <is>
          <t>Set-up</t>
        </is>
      </c>
      <c r="D3" s="123" t="inlineStr">
        <is>
          <t>Tower 3</t>
        </is>
      </c>
      <c r="E3" s="124" t="inlineStr">
        <is>
          <t>Tower 4</t>
        </is>
      </c>
      <c r="F3" s="124" t="inlineStr">
        <is>
          <t>Tower 5</t>
        </is>
      </c>
      <c r="G3" s="125" t="inlineStr">
        <is>
          <t>Tower 6</t>
        </is>
      </c>
      <c r="H3" s="126" t="inlineStr">
        <is>
          <t>Riviera 3</t>
        </is>
      </c>
      <c r="I3" s="126" t="inlineStr">
        <is>
          <t>Riviera 4</t>
        </is>
      </c>
      <c r="J3" s="126" t="inlineStr">
        <is>
          <t>Riviera 5</t>
        </is>
      </c>
    </row>
    <row r="4">
      <c r="A4" s="26" t="inlineStr">
        <is>
          <t>Outdoor</t>
        </is>
      </c>
      <c r="B4" s="27" t="inlineStr">
        <is>
          <t>Gujan Ioan-Samuel</t>
        </is>
      </c>
      <c r="C4" s="28" t="inlineStr">
        <is>
          <t>Engineering - standard</t>
        </is>
      </c>
      <c r="D4" s="127" t="n"/>
      <c r="E4" s="127" t="n"/>
      <c r="F4" s="128" t="n">
        <v>43</v>
      </c>
      <c r="G4" s="129" t="n">
        <v>102</v>
      </c>
      <c r="H4" s="130" t="n"/>
      <c r="I4" s="130" t="n"/>
      <c r="J4" s="130" t="n"/>
    </row>
    <row r="5">
      <c r="A5" s="26" t="inlineStr">
        <is>
          <t>Aviation</t>
        </is>
      </c>
      <c r="B5" s="27" t="inlineStr">
        <is>
          <t>Maxim Ioana Maria</t>
        </is>
      </c>
      <c r="C5" s="28" t="inlineStr">
        <is>
          <t>Engineering - custom simple</t>
        </is>
      </c>
      <c r="D5" s="127" t="n"/>
      <c r="E5" s="127" t="n"/>
      <c r="F5" s="128" t="n">
        <v>62</v>
      </c>
      <c r="G5" s="130" t="n"/>
      <c r="H5" s="130" t="n"/>
      <c r="I5" s="130" t="n"/>
      <c r="J5" s="127" t="n"/>
    </row>
    <row r="6">
      <c r="A6" s="26" t="inlineStr">
        <is>
          <t>IT Applications</t>
        </is>
      </c>
      <c r="B6" s="27" t="inlineStr">
        <is>
          <t>Har Daniel-Cristian</t>
        </is>
      </c>
      <c r="C6" s="28" t="inlineStr">
        <is>
          <t>Engineering - standard</t>
        </is>
      </c>
      <c r="D6" s="127" t="n"/>
      <c r="E6" s="131" t="n">
        <v>102</v>
      </c>
      <c r="F6" s="127" t="n"/>
      <c r="G6" s="127" t="n"/>
      <c r="H6" s="127" t="n"/>
      <c r="I6" s="127" t="n"/>
      <c r="J6" s="127" t="n"/>
    </row>
    <row r="7">
      <c r="A7" s="26" t="inlineStr">
        <is>
          <t>IT Security - Cyber</t>
        </is>
      </c>
      <c r="B7" s="27" t="inlineStr">
        <is>
          <t>Scurt Eugen</t>
        </is>
      </c>
      <c r="C7" s="28" t="inlineStr">
        <is>
          <t>IT - standard, custom simple, LAB</t>
        </is>
      </c>
      <c r="D7" s="127" t="n">
        <v>37.62</v>
      </c>
      <c r="E7" s="127" t="n"/>
      <c r="F7" s="127" t="n"/>
      <c r="G7" s="127" t="n"/>
      <c r="H7" s="127" t="n"/>
      <c r="I7" s="127" t="n"/>
      <c r="J7" s="127" t="n"/>
    </row>
    <row r="8">
      <c r="A8" s="26" t="inlineStr">
        <is>
          <t>IT Services</t>
        </is>
      </c>
      <c r="B8" s="27" t="inlineStr">
        <is>
          <t>Mateescu Bogdan Catalin</t>
        </is>
      </c>
      <c r="C8" s="28" t="inlineStr">
        <is>
          <t>IT - custom advanced</t>
        </is>
      </c>
      <c r="D8" s="127" t="n">
        <v>15</v>
      </c>
      <c r="E8" s="127" t="n"/>
      <c r="F8" s="130" t="n"/>
      <c r="G8" s="130" t="n"/>
      <c r="H8" s="130" t="n"/>
      <c r="I8" s="130" t="n"/>
      <c r="J8" s="127" t="n"/>
    </row>
    <row r="9">
      <c r="A9" s="26" t="inlineStr">
        <is>
          <t>HR</t>
        </is>
      </c>
      <c r="B9" s="27" t="inlineStr">
        <is>
          <t>Paduret Dan</t>
        </is>
      </c>
      <c r="C9" s="28" t="inlineStr">
        <is>
          <t>Administration - standard</t>
        </is>
      </c>
      <c r="D9" s="127" t="n">
        <v>10.17</v>
      </c>
      <c r="E9" s="127" t="n"/>
      <c r="F9" s="130" t="n"/>
      <c r="G9" s="130" t="n"/>
      <c r="H9" s="130" t="n"/>
      <c r="I9" s="130" t="n"/>
      <c r="J9" s="127" t="n"/>
    </row>
    <row r="10">
      <c r="A10" s="26" t="inlineStr">
        <is>
          <t>Finance &amp; Administration</t>
        </is>
      </c>
      <c r="B10" s="27" t="inlineStr">
        <is>
          <t>Paduret Dan</t>
        </is>
      </c>
      <c r="C10" s="28" t="inlineStr">
        <is>
          <t>Administration - custom</t>
        </is>
      </c>
      <c r="D10" s="127" t="n">
        <v>9.039999999999999</v>
      </c>
      <c r="E10" s="127" t="n"/>
      <c r="F10" s="130" t="n"/>
      <c r="G10" s="130" t="n"/>
      <c r="H10" s="130" t="n"/>
      <c r="I10" s="130" t="n"/>
      <c r="J10" s="127" t="n"/>
    </row>
    <row r="11">
      <c r="A11" s="26" t="inlineStr">
        <is>
          <t>Communications</t>
        </is>
      </c>
      <c r="B11" s="27" t="inlineStr">
        <is>
          <t>Paduret Dan</t>
        </is>
      </c>
      <c r="C11" s="28" t="inlineStr">
        <is>
          <t>Administration - standard</t>
        </is>
      </c>
      <c r="D11" s="127" t="n">
        <v>2.26</v>
      </c>
      <c r="E11" s="127" t="n"/>
      <c r="F11" s="130" t="n"/>
      <c r="G11" s="130" t="n"/>
      <c r="H11" s="130" t="n"/>
      <c r="I11" s="130" t="n"/>
      <c r="J11" s="127" t="n"/>
    </row>
    <row r="12">
      <c r="A12" s="26" t="inlineStr">
        <is>
          <t>Administration</t>
        </is>
      </c>
      <c r="B12" s="27" t="inlineStr">
        <is>
          <t>Paduret Dan</t>
        </is>
      </c>
      <c r="C12" s="28" t="inlineStr">
        <is>
          <t>Administration - standard</t>
        </is>
      </c>
      <c r="D12" s="127" t="n">
        <v>1.13</v>
      </c>
      <c r="E12" s="127" t="n"/>
      <c r="F12" s="127" t="n"/>
      <c r="G12" s="127" t="n"/>
      <c r="H12" s="127" t="n"/>
      <c r="I12" s="127" t="n"/>
      <c r="J12" s="127" t="n"/>
    </row>
    <row r="13">
      <c r="A13" s="26" t="inlineStr">
        <is>
          <t>Facility</t>
        </is>
      </c>
      <c r="B13" s="27" t="inlineStr">
        <is>
          <t>Paduret Dan</t>
        </is>
      </c>
      <c r="C13" s="28" t="inlineStr">
        <is>
          <t>Administration - custom</t>
        </is>
      </c>
      <c r="D13" s="127" t="n">
        <v>1.13</v>
      </c>
      <c r="E13" s="127" t="n"/>
      <c r="F13" s="127" t="n"/>
      <c r="G13" s="127" t="n"/>
      <c r="H13" s="127" t="n"/>
      <c r="I13" s="127" t="n"/>
      <c r="J13" s="127" t="n"/>
    </row>
    <row r="14">
      <c r="A14" s="26" t="inlineStr">
        <is>
          <t>Reverse Logistics</t>
        </is>
      </c>
      <c r="B14" s="27" t="inlineStr">
        <is>
          <t>Paduret Dan</t>
        </is>
      </c>
      <c r="C14" s="28" t="inlineStr">
        <is>
          <t>Administration - custom</t>
        </is>
      </c>
      <c r="D14" s="127" t="n">
        <v>2</v>
      </c>
      <c r="E14" s="127" t="n"/>
      <c r="F14" s="127" t="n"/>
      <c r="G14" s="127" t="n"/>
      <c r="H14" s="127" t="n"/>
      <c r="I14" s="127" t="n"/>
      <c r="J14" s="127" t="n"/>
    </row>
    <row r="15">
      <c r="A15" s="26" t="inlineStr">
        <is>
          <t>Director General</t>
        </is>
      </c>
      <c r="B15" s="27" t="inlineStr">
        <is>
          <t>Paduret Dan</t>
        </is>
      </c>
      <c r="C15" s="28" t="inlineStr">
        <is>
          <t>Administration - Director General</t>
        </is>
      </c>
      <c r="D15" s="127" t="n">
        <v>1.13</v>
      </c>
      <c r="E15" s="127" t="n"/>
      <c r="F15" s="127" t="n"/>
      <c r="G15" s="127" t="n"/>
      <c r="H15" s="127" t="n"/>
      <c r="I15" s="127" t="n"/>
      <c r="J15" s="127" t="n"/>
    </row>
    <row r="16">
      <c r="A16" s="26" t="inlineStr">
        <is>
          <t>Reception</t>
        </is>
      </c>
      <c r="B16" s="27" t="inlineStr">
        <is>
          <t>Paduret Dan</t>
        </is>
      </c>
      <c r="C16" s="28" t="inlineStr">
        <is>
          <t>Reception</t>
        </is>
      </c>
      <c r="D16" s="127" t="n">
        <v>1.13</v>
      </c>
      <c r="E16" s="127" t="n"/>
      <c r="F16" s="127" t="n"/>
      <c r="G16" s="127" t="n"/>
      <c r="H16" s="127" t="n"/>
      <c r="I16" s="127" t="n"/>
      <c r="J16" s="127" t="n"/>
    </row>
    <row r="17">
      <c r="D17" s="132">
        <f>SUM(D4:D16)</f>
        <v/>
      </c>
      <c r="E17" s="132">
        <f>SUM(E4:E16)</f>
        <v/>
      </c>
      <c r="F17" s="132">
        <f>SUM(F4:F16)</f>
        <v/>
      </c>
      <c r="G17" s="132">
        <f>SUM(G4:G16)</f>
        <v/>
      </c>
    </row>
    <row r="22" ht="15.95" customHeight="1">
      <c r="A22" s="24" t="inlineStr">
        <is>
          <t>Team</t>
        </is>
      </c>
      <c r="B22" s="24" t="inlineStr">
        <is>
          <t>Department Lead</t>
        </is>
      </c>
      <c r="C22" s="25" t="inlineStr">
        <is>
          <t>Set-up</t>
        </is>
      </c>
      <c r="D22" s="123" t="inlineStr">
        <is>
          <t>Tower 3</t>
        </is>
      </c>
      <c r="E22" s="124" t="inlineStr">
        <is>
          <t>Tower 4</t>
        </is>
      </c>
      <c r="F22" s="124" t="inlineStr">
        <is>
          <t>Tower 5</t>
        </is>
      </c>
      <c r="G22" s="125" t="inlineStr">
        <is>
          <t>Tower 6</t>
        </is>
      </c>
      <c r="H22" s="126" t="inlineStr">
        <is>
          <t>Riviera 3</t>
        </is>
      </c>
      <c r="I22" s="126" t="inlineStr">
        <is>
          <t>Riviera 4</t>
        </is>
      </c>
      <c r="J22" s="126" t="inlineStr">
        <is>
          <t>Riviera 5</t>
        </is>
      </c>
    </row>
    <row r="23">
      <c r="A23" s="26" t="inlineStr">
        <is>
          <t>DI</t>
        </is>
      </c>
      <c r="B23" s="27" t="inlineStr">
        <is>
          <t>Adiaconitei Andrei</t>
        </is>
      </c>
      <c r="C23" s="28" t="inlineStr">
        <is>
          <t>Engineering - standard</t>
        </is>
      </c>
      <c r="D23" s="127" t="n"/>
      <c r="E23" s="127" t="n"/>
      <c r="F23" s="130" t="n"/>
      <c r="G23" s="130" t="n"/>
      <c r="H23" s="130" t="n"/>
      <c r="I23" s="129" t="n">
        <v>43</v>
      </c>
      <c r="J23" s="128" t="n">
        <v>107</v>
      </c>
    </row>
    <row r="24">
      <c r="A24" s="26" t="inlineStr">
        <is>
          <t>DI - API</t>
        </is>
      </c>
      <c r="B24" s="27" t="inlineStr">
        <is>
          <t>Chifor Petru-Andrei</t>
        </is>
      </c>
      <c r="C24" s="28" t="inlineStr">
        <is>
          <t>Engineering - standard</t>
        </is>
      </c>
      <c r="D24" s="127" t="n"/>
      <c r="E24" s="127" t="n"/>
      <c r="F24" s="130" t="n"/>
      <c r="G24" s="130" t="n"/>
      <c r="H24" s="130" t="n"/>
      <c r="I24" s="129" t="n">
        <v>43</v>
      </c>
      <c r="J24" s="130" t="n"/>
    </row>
    <row r="25">
      <c r="A25" s="26" t="inlineStr">
        <is>
          <t>Core Software Engineering Services</t>
        </is>
      </c>
      <c r="B25" s="27" t="inlineStr">
        <is>
          <t>Chifor Petru-Andrei</t>
        </is>
      </c>
      <c r="C25" s="28" t="inlineStr">
        <is>
          <t>Engineering - standard</t>
        </is>
      </c>
      <c r="D25" s="127" t="n"/>
      <c r="E25" s="127" t="n"/>
      <c r="F25" s="130" t="n"/>
      <c r="G25" s="130" t="n"/>
      <c r="H25" s="130" t="n"/>
      <c r="I25" s="129" t="n">
        <v>4</v>
      </c>
      <c r="J25" s="130" t="n"/>
    </row>
    <row r="26">
      <c r="A26" s="26" t="inlineStr">
        <is>
          <t>AUTO OEM</t>
        </is>
      </c>
      <c r="B26" s="27" t="inlineStr">
        <is>
          <t>Maxim Ioana Maria</t>
        </is>
      </c>
      <c r="C26" s="28" t="inlineStr">
        <is>
          <t>Engineering - custom advanced A+B</t>
        </is>
      </c>
      <c r="D26" s="127" t="n"/>
      <c r="E26" s="127" t="n"/>
      <c r="F26" s="130" t="n"/>
      <c r="G26" s="130" t="n"/>
      <c r="H26" s="128" t="n">
        <v>48</v>
      </c>
      <c r="I26" s="130" t="n"/>
      <c r="J26" s="127" t="n"/>
    </row>
    <row r="27">
      <c r="A27" s="26" t="inlineStr">
        <is>
          <t>Marine</t>
        </is>
      </c>
      <c r="B27" s="27" t="inlineStr">
        <is>
          <t>Tiplea Tudor Mihai</t>
        </is>
      </c>
      <c r="C27" s="28" t="inlineStr">
        <is>
          <t>Engineering - custom simple</t>
        </is>
      </c>
      <c r="D27" s="127" t="n"/>
      <c r="E27" s="127" t="n"/>
      <c r="F27" s="127" t="n"/>
      <c r="G27" s="127" t="n"/>
      <c r="H27" s="133" t="n">
        <v>59</v>
      </c>
      <c r="I27" s="127" t="n"/>
      <c r="J27" s="127" t="n"/>
    </row>
    <row r="28">
      <c r="A28" s="26" t="inlineStr">
        <is>
          <t>Garmin Labs</t>
        </is>
      </c>
      <c r="B28" s="27" t="inlineStr">
        <is>
          <t>Tiplea Tudor Mihai</t>
        </is>
      </c>
      <c r="C28" s="28" t="inlineStr">
        <is>
          <t>Engineering - standard</t>
        </is>
      </c>
      <c r="D28" s="127" t="n"/>
      <c r="E28" s="127" t="n"/>
      <c r="F28" s="127" t="n"/>
      <c r="G28" s="127" t="n"/>
      <c r="H28" s="131" t="n">
        <v>15</v>
      </c>
      <c r="I28" s="127" t="n"/>
      <c r="J28" s="127" t="n"/>
    </row>
    <row r="29">
      <c r="H29" s="132">
        <f>SUM(H23:H28)</f>
        <v/>
      </c>
      <c r="I29" s="132">
        <f>SUM(I23:I28)</f>
        <v/>
      </c>
      <c r="J29" s="132">
        <f>SUM(J23:J28)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JIDNK/Vyo2l9Z1wxbSvxA==" formatRows="1" sort="1" spinCount="100000" hashValue="h1uO2HhA5Zrzk/aJZm87EFroeoRJ3oU7FhlBheo25Qh0uKNCal/j801NX30y32+60QmGaGKVevxWnlJq41UCZg=="/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Q649"/>
  <sheetViews>
    <sheetView showGridLines="0" zoomScale="140" zoomScaleNormal="140" workbookViewId="0">
      <pane ySplit="1" topLeftCell="A341" activePane="bottomLeft" state="frozen"/>
      <selection pane="bottomLeft" activeCell="A637" sqref="A637"/>
    </sheetView>
  </sheetViews>
  <sheetFormatPr baseColWidth="8" defaultColWidth="8.7109375" defaultRowHeight="15" customHeight="1"/>
  <cols>
    <col width="15.7109375" customWidth="1" style="85" min="1" max="1"/>
    <col width="29" customWidth="1" style="3" min="2" max="2"/>
    <col width="20.7109375" customWidth="1" style="3" min="3" max="3"/>
    <col width="29" customWidth="1" style="3" min="4" max="4"/>
    <col width="25.7109375" customWidth="1" style="3" min="5" max="5"/>
    <col width="29" customWidth="1" style="3" min="6" max="6"/>
    <col width="31" customWidth="1" style="3" min="7" max="7"/>
    <col width="25.42578125" customWidth="1" style="4" min="8" max="8"/>
    <col width="18.140625" customWidth="1" style="3" min="9" max="9"/>
    <col width="15.42578125" customWidth="1" style="3" min="10" max="10"/>
    <col width="8.7109375" customWidth="1" style="3" min="11" max="11"/>
    <col width="31.85546875" customWidth="1" style="3" min="12" max="12"/>
    <col width="18.140625" customWidth="1" style="3" min="13" max="13"/>
    <col width="16.28515625" customWidth="1" style="3" min="14" max="14"/>
    <col width="21.140625" customWidth="1" style="4" min="15" max="15"/>
    <col width="3" customWidth="1" style="4" min="16" max="16"/>
    <col width="4.42578125" customWidth="1" style="4" min="17" max="18"/>
    <col width="5.7109375" customWidth="1" style="4" min="19" max="19"/>
    <col width="12.140625" customWidth="1" style="3" min="20" max="20"/>
    <col width="8.7109375" customWidth="1" style="3" min="21" max="16384"/>
  </cols>
  <sheetData>
    <row r="1" ht="26.25" customFormat="1" customHeight="1" s="45">
      <c r="A1" s="82" t="inlineStr">
        <is>
          <t>Marca</t>
        </is>
      </c>
      <c r="B1" s="46" t="inlineStr">
        <is>
          <t>Nume si prenume</t>
        </is>
      </c>
      <c r="C1" s="46" t="inlineStr">
        <is>
          <t>Stare</t>
        </is>
      </c>
      <c r="D1" s="46" t="inlineStr">
        <is>
          <t>1st line Supervisor</t>
        </is>
      </c>
      <c r="E1" s="46" t="inlineStr">
        <is>
          <t>2nd line Supervisor</t>
        </is>
      </c>
      <c r="F1" s="46" t="inlineStr">
        <is>
          <t>3rd line Supervisor</t>
        </is>
      </c>
      <c r="G1" s="46" t="inlineStr">
        <is>
          <t>Department Leader</t>
        </is>
      </c>
      <c r="H1" s="46" t="inlineStr">
        <is>
          <t>Sub CC</t>
        </is>
      </c>
      <c r="I1" s="109" t="inlineStr">
        <is>
          <t>Check Allocation</t>
        </is>
      </c>
      <c r="J1" s="110" t="inlineStr">
        <is>
          <t>Status Check Allocation</t>
        </is>
      </c>
      <c r="L1" s="99" t="inlineStr">
        <is>
          <t>upcoming associates (June)- Staff ID to be updated</t>
        </is>
      </c>
      <c r="M1" s="59" t="inlineStr">
        <is>
          <t>Parental Leave</t>
        </is>
      </c>
      <c r="N1" s="78" t="inlineStr">
        <is>
          <t>Bucharest Office</t>
        </is>
      </c>
      <c r="O1" s="95" t="inlineStr">
        <is>
          <t>angajati luna mai</t>
        </is>
      </c>
      <c r="P1" s="103" t="inlineStr">
        <is>
          <t>Interns 2026 - Start date July - Staff ID to be updated</t>
        </is>
      </c>
      <c r="Q1" s="115" t="inlineStr">
        <is>
          <t>Leavers May as of 18- May-25, ar tb stearsa alocarea</t>
        </is>
      </c>
    </row>
    <row r="2">
      <c r="A2" s="90" t="n">
        <v>519</v>
      </c>
      <c r="B2" s="91" t="inlineStr">
        <is>
          <t>MELANIE HOWELL</t>
        </is>
      </c>
      <c r="C2" s="91" t="inlineStr">
        <is>
          <t>Suspendat</t>
        </is>
      </c>
      <c r="D2" s="91" t="inlineStr">
        <is>
          <t>JAMES EDWARDS</t>
        </is>
      </c>
      <c r="E2" s="91" t="inlineStr">
        <is>
          <t>DR. DIANA CARROLL</t>
        </is>
      </c>
      <c r="F2" s="91" t="inlineStr">
        <is>
          <t>HEATHER SOLIS</t>
        </is>
      </c>
      <c r="G2" s="91" t="inlineStr">
        <is>
          <t>HEATHER SOLIS</t>
        </is>
      </c>
      <c r="H2" s="91" t="inlineStr">
        <is>
          <t>138-1</t>
        </is>
      </c>
      <c r="I2" s="111">
        <f>COUNTIF(Tower_3!G:G,'All Associates'!A2)+COUNTIF(Tower_4!G:G,'All Associates'!A2)+COUNTIF(Tower_5!G:G,'All Associates'!A2)+COUNTIF(Tower_6!G:G,'All Associates'!A2)+COUNTIF(Riviera_3!G:G,'All Associates'!A2)+COUNTIF(Riviera_4!G:G,'All Associates'!A2)+COUNTIF(Riviera_5!G:G,'All Associates'!A2)</f>
        <v/>
      </c>
      <c r="J2" s="112">
        <f>IF(I2=0,"Not Allocated",IF(I2=1,"Allocated","Duplicate"))</f>
        <v/>
      </c>
    </row>
    <row r="3" hidden="1">
      <c r="A3" s="83" t="n">
        <v>937</v>
      </c>
      <c r="B3" s="80" t="inlineStr">
        <is>
          <t>SAMANTHA BAKER</t>
        </is>
      </c>
      <c r="C3" s="80" t="inlineStr">
        <is>
          <t>Activ</t>
        </is>
      </c>
      <c r="D3" s="80" t="inlineStr">
        <is>
          <t>STEPHANIE PERKINS</t>
        </is>
      </c>
      <c r="E3" s="80" t="inlineStr">
        <is>
          <t>MR. MICHAEL KELLY</t>
        </is>
      </c>
      <c r="F3" s="80" t="inlineStr">
        <is>
          <t>HEATHER SOLIS</t>
        </is>
      </c>
      <c r="G3" s="80" t="inlineStr">
        <is>
          <t>HEATHER SOLIS</t>
        </is>
      </c>
      <c r="H3" s="80" t="inlineStr">
        <is>
          <t>138-2</t>
        </is>
      </c>
      <c r="I3" s="111">
        <f>COUNTIF(Tower_3!G:G,'All Associates'!A3)+COUNTIF(Tower_4!G:G,'All Associates'!A3)+COUNTIF(Tower_5!G:G,'All Associates'!A3)+COUNTIF(Tower_6!G:G,'All Associates'!A3)+COUNTIF(Riviera_3!G:G,'All Associates'!A3)+COUNTIF(Riviera_4!G:G,'All Associates'!A3)+COUNTIF(Riviera_5!G:G,'All Associates'!A3)</f>
        <v/>
      </c>
      <c r="J3" s="112">
        <f>IF(I3=0,"Not Allocated",IF(I3=1,"Allocated","Duplicate"))</f>
        <v/>
      </c>
    </row>
    <row r="4" hidden="1">
      <c r="A4" s="83" t="n">
        <v>911</v>
      </c>
      <c r="B4" s="80" t="inlineStr">
        <is>
          <t>WILLIAM PETERSON</t>
        </is>
      </c>
      <c r="C4" s="80" t="inlineStr">
        <is>
          <t>Activ</t>
        </is>
      </c>
      <c r="D4" s="80" t="inlineStr">
        <is>
          <t>KATHRYN ABBOTT</t>
        </is>
      </c>
      <c r="E4" s="80" t="inlineStr">
        <is>
          <t>ALEXANDER MILLER</t>
        </is>
      </c>
      <c r="F4" s="80" t="inlineStr">
        <is>
          <t>KIMBERLY CLARK</t>
        </is>
      </c>
      <c r="G4" s="80" t="inlineStr">
        <is>
          <t>ALEXANDER MILLER</t>
        </is>
      </c>
      <c r="H4" s="80" t="inlineStr">
        <is>
          <t>135-1</t>
        </is>
      </c>
      <c r="I4" s="111">
        <f>COUNTIF(Tower_3!G:G,'All Associates'!A4)+COUNTIF(Tower_4!G:G,'All Associates'!A4)+COUNTIF(Tower_5!G:G,'All Associates'!A4)+COUNTIF(Tower_6!G:G,'All Associates'!A4)+COUNTIF(Riviera_3!G:G,'All Associates'!A4)+COUNTIF(Riviera_4!G:G,'All Associates'!A4)+COUNTIF(Riviera_5!G:G,'All Associates'!A4)</f>
        <v/>
      </c>
      <c r="J4" s="112">
        <f>IF(I4=0,"Not Allocated",IF(I4=1,"Allocated","Duplicate"))</f>
        <v/>
      </c>
    </row>
    <row r="5" hidden="1">
      <c r="A5" s="83" t="n">
        <v>509</v>
      </c>
      <c r="B5" s="80" t="inlineStr">
        <is>
          <t>PATRICK THOMPSON</t>
        </is>
      </c>
      <c r="C5" s="80" t="inlineStr">
        <is>
          <t>Activ</t>
        </is>
      </c>
      <c r="D5" s="80" t="inlineStr">
        <is>
          <t>BETH TUCKER</t>
        </is>
      </c>
      <c r="E5" s="80" t="inlineStr">
        <is>
          <t>KIMBERLY CLARK</t>
        </is>
      </c>
      <c r="F5" s="80" t="inlineStr">
        <is>
          <t>KIMBERLY CLARK</t>
        </is>
      </c>
      <c r="G5" s="80" t="inlineStr">
        <is>
          <t>KIMBERLY CLARK</t>
        </is>
      </c>
      <c r="H5" s="80" t="inlineStr">
        <is>
          <t>156-2</t>
        </is>
      </c>
      <c r="I5" s="111">
        <f>COUNTIF(Tower_3!G:G,'All Associates'!A5)+COUNTIF(Tower_4!G:G,'All Associates'!A5)+COUNTIF(Tower_5!G:G,'All Associates'!A5)+COUNTIF(Tower_6!G:G,'All Associates'!A5)+COUNTIF(Riviera_3!G:G,'All Associates'!A5)+COUNTIF(Riviera_4!G:G,'All Associates'!A5)+COUNTIF(Riviera_5!G:G,'All Associates'!A5)</f>
        <v/>
      </c>
      <c r="J5" s="112">
        <f>IF(I5=0,"Not Allocated",IF(I5=1,"Allocated","Duplicate"))</f>
        <v/>
      </c>
    </row>
    <row r="6" hidden="1">
      <c r="A6" s="83" t="n">
        <v>1072</v>
      </c>
      <c r="B6" s="80" t="inlineStr">
        <is>
          <t>VANESSA RODRIGUEZ</t>
        </is>
      </c>
      <c r="C6" s="80" t="inlineStr">
        <is>
          <t>Activ</t>
        </is>
      </c>
      <c r="D6" s="80" t="inlineStr">
        <is>
          <t>AMY ROBERTS</t>
        </is>
      </c>
      <c r="E6" s="80" t="inlineStr">
        <is>
          <t>BETH TUCKER</t>
        </is>
      </c>
      <c r="F6" s="80" t="inlineStr">
        <is>
          <t>KIMBERLY CLARK</t>
        </is>
      </c>
      <c r="G6" s="80" t="inlineStr">
        <is>
          <t>KIMBERLY CLARK</t>
        </is>
      </c>
      <c r="H6" s="80" t="inlineStr">
        <is>
          <t>156-2</t>
        </is>
      </c>
      <c r="I6" s="111">
        <f>COUNTIF(Tower_3!G:G,'All Associates'!A6)+COUNTIF(Tower_4!G:G,'All Associates'!A6)+COUNTIF(Tower_5!G:G,'All Associates'!A6)+COUNTIF(Tower_6!G:G,'All Associates'!A6)+COUNTIF(Riviera_3!G:G,'All Associates'!A6)+COUNTIF(Riviera_4!G:G,'All Associates'!A6)+COUNTIF(Riviera_5!G:G,'All Associates'!A6)</f>
        <v/>
      </c>
      <c r="J6" s="112">
        <f>IF(I6=0,"Not Allocated",IF(I6=1,"Allocated","Duplicate"))</f>
        <v/>
      </c>
    </row>
    <row r="7" hidden="1">
      <c r="A7" s="83" t="n">
        <v>875</v>
      </c>
      <c r="B7" s="80" t="inlineStr">
        <is>
          <t>COLLEEN HAMPTON</t>
        </is>
      </c>
      <c r="C7" s="80" t="inlineStr">
        <is>
          <t>Activ</t>
        </is>
      </c>
      <c r="D7" s="80" t="inlineStr">
        <is>
          <t>SUMMER BARRETT</t>
        </is>
      </c>
      <c r="E7" s="80" t="inlineStr">
        <is>
          <t>ALEXANDER MILLER</t>
        </is>
      </c>
      <c r="F7" s="80" t="inlineStr">
        <is>
          <t>KIMBERLY CLARK</t>
        </is>
      </c>
      <c r="G7" s="80" t="inlineStr">
        <is>
          <t>ALEXANDER MILLER</t>
        </is>
      </c>
      <c r="H7" s="80" t="inlineStr">
        <is>
          <t>135-1</t>
        </is>
      </c>
      <c r="I7" s="111">
        <f>COUNTIF(Tower_3!G:G,'All Associates'!A7)+COUNTIF(Tower_4!G:G,'All Associates'!A7)+COUNTIF(Tower_5!G:G,'All Associates'!A7)+COUNTIF(Tower_6!G:G,'All Associates'!A7)+COUNTIF(Riviera_3!G:G,'All Associates'!A7)+COUNTIF(Riviera_4!G:G,'All Associates'!A7)+COUNTIF(Riviera_5!G:G,'All Associates'!A7)</f>
        <v/>
      </c>
      <c r="J7" s="112">
        <f>IF(I7=0,"Not Allocated",IF(I7=1,"Allocated","Duplicate"))</f>
        <v/>
      </c>
    </row>
    <row r="8" hidden="1">
      <c r="A8" s="83" t="n">
        <v>530</v>
      </c>
      <c r="B8" s="80" t="inlineStr">
        <is>
          <t>JOSHUA MASON</t>
        </is>
      </c>
      <c r="C8" s="80" t="inlineStr">
        <is>
          <t>Activ</t>
        </is>
      </c>
      <c r="D8" s="80" t="inlineStr">
        <is>
          <t>MS. KAITLIN WILKINSON</t>
        </is>
      </c>
      <c r="E8" s="80" t="inlineStr">
        <is>
          <t>ALEXANDER BAUTISTA</t>
        </is>
      </c>
      <c r="F8" s="80" t="inlineStr">
        <is>
          <t>HEATHER SOLIS</t>
        </is>
      </c>
      <c r="G8" s="80" t="inlineStr">
        <is>
          <t>HEATHER SOLIS</t>
        </is>
      </c>
      <c r="H8" s="80" t="inlineStr">
        <is>
          <t>138-1</t>
        </is>
      </c>
      <c r="I8" s="111">
        <f>COUNTIF(Tower_3!G:G,'All Associates'!A8)+COUNTIF(Tower_4!G:G,'All Associates'!A8)+COUNTIF(Tower_5!G:G,'All Associates'!A8)+COUNTIF(Tower_6!G:G,'All Associates'!A8)+COUNTIF(Riviera_3!G:G,'All Associates'!A8)+COUNTIF(Riviera_4!G:G,'All Associates'!A8)+COUNTIF(Riviera_5!G:G,'All Associates'!A8)</f>
        <v/>
      </c>
      <c r="J8" s="112">
        <f>IF(I8=0,"Not Allocated",IF(I8=1,"Allocated","Duplicate"))</f>
        <v/>
      </c>
    </row>
    <row r="9" hidden="1">
      <c r="A9" s="83" t="n">
        <v>483</v>
      </c>
      <c r="B9" s="80" t="inlineStr">
        <is>
          <t>JAMES RICE</t>
        </is>
      </c>
      <c r="C9" s="80" t="inlineStr">
        <is>
          <t>Activ</t>
        </is>
      </c>
      <c r="D9" s="80" t="inlineStr">
        <is>
          <t>STEPHANIE WEAVER</t>
        </is>
      </c>
      <c r="E9" s="80" t="inlineStr">
        <is>
          <t>MARISSA CROSS</t>
        </is>
      </c>
      <c r="F9" s="80" t="inlineStr">
        <is>
          <t>KIMBERLY CLARK</t>
        </is>
      </c>
      <c r="G9" s="80" t="inlineStr">
        <is>
          <t>MARISSA CROSS</t>
        </is>
      </c>
      <c r="H9" s="80" t="inlineStr">
        <is>
          <t>220-2</t>
        </is>
      </c>
      <c r="I9" s="111">
        <f>COUNTIF(Tower_3!G:G,'All Associates'!A9)+COUNTIF(Tower_4!G:G,'All Associates'!A9)+COUNTIF(Tower_5!G:G,'All Associates'!A9)+COUNTIF(Tower_6!G:G,'All Associates'!A9)+COUNTIF(Riviera_3!G:G,'All Associates'!A9)+COUNTIF(Riviera_4!G:G,'All Associates'!A9)+COUNTIF(Riviera_5!G:G,'All Associates'!A9)</f>
        <v/>
      </c>
      <c r="J9" s="112">
        <f>IF(I9=0,"Not Allocated",IF(I9=1,"Allocated","Duplicate"))</f>
        <v/>
      </c>
    </row>
    <row r="10" hidden="1">
      <c r="A10" s="83" t="n">
        <v>1081</v>
      </c>
      <c r="B10" s="80" t="inlineStr">
        <is>
          <t>MARK PRICE</t>
        </is>
      </c>
      <c r="C10" s="80" t="inlineStr">
        <is>
          <t>Activ</t>
        </is>
      </c>
      <c r="D10" s="80" t="inlineStr">
        <is>
          <t>DIANE PETERSEN</t>
        </is>
      </c>
      <c r="E10" s="80" t="inlineStr">
        <is>
          <t>DR. DIANA CARROLL</t>
        </is>
      </c>
      <c r="F10" s="80" t="inlineStr">
        <is>
          <t>HEATHER SOLIS</t>
        </is>
      </c>
      <c r="G10" s="80" t="inlineStr">
        <is>
          <t>HEATHER SOLIS</t>
        </is>
      </c>
      <c r="H10" s="80" t="inlineStr">
        <is>
          <t>138-1</t>
        </is>
      </c>
      <c r="I10" s="111">
        <f>COUNTIF(Tower_3!G:G,'All Associates'!A10)+COUNTIF(Tower_4!G:G,'All Associates'!A10)+COUNTIF(Tower_5!G:G,'All Associates'!A10)+COUNTIF(Tower_6!G:G,'All Associates'!A10)+COUNTIF(Riviera_3!G:G,'All Associates'!A10)+COUNTIF(Riviera_4!G:G,'All Associates'!A10)+COUNTIF(Riviera_5!G:G,'All Associates'!A10)</f>
        <v/>
      </c>
      <c r="J10" s="112">
        <f>IF(I10=0,"Not Allocated",IF(I10=1,"Allocated","Duplicate"))</f>
        <v/>
      </c>
    </row>
    <row r="11" hidden="1">
      <c r="A11" s="83" t="n">
        <v>775</v>
      </c>
      <c r="B11" s="80" t="inlineStr">
        <is>
          <t>CRAIG HOGAN</t>
        </is>
      </c>
      <c r="C11" s="80" t="inlineStr">
        <is>
          <t>Activ</t>
        </is>
      </c>
      <c r="D11" s="80" t="inlineStr">
        <is>
          <t>ROBERT MUELLER</t>
        </is>
      </c>
      <c r="E11" s="80" t="inlineStr">
        <is>
          <t>CHAD PEREZ</t>
        </is>
      </c>
      <c r="F11" s="80" t="inlineStr">
        <is>
          <t>MARISSA CROSS</t>
        </is>
      </c>
      <c r="G11" s="80" t="inlineStr">
        <is>
          <t>MARISSA CROSS</t>
        </is>
      </c>
      <c r="H11" s="80" t="inlineStr">
        <is>
          <t>220-2</t>
        </is>
      </c>
      <c r="I11" s="111">
        <f>COUNTIF(Tower_3!G:G,'All Associates'!A11)+COUNTIF(Tower_4!G:G,'All Associates'!A11)+COUNTIF(Tower_5!G:G,'All Associates'!A11)+COUNTIF(Tower_6!G:G,'All Associates'!A11)+COUNTIF(Riviera_3!G:G,'All Associates'!A11)+COUNTIF(Riviera_4!G:G,'All Associates'!A11)+COUNTIF(Riviera_5!G:G,'All Associates'!A11)</f>
        <v/>
      </c>
      <c r="J11" s="112">
        <f>IF(I11=0,"Not Allocated",IF(I11=1,"Allocated","Duplicate"))</f>
        <v/>
      </c>
    </row>
    <row r="12" hidden="1">
      <c r="A12" s="83" t="n">
        <v>518</v>
      </c>
      <c r="B12" s="80" t="inlineStr">
        <is>
          <t>BENJAMIN POOLE</t>
        </is>
      </c>
      <c r="C12" s="80" t="inlineStr">
        <is>
          <t>Activ</t>
        </is>
      </c>
      <c r="D12" s="80" t="inlineStr">
        <is>
          <t>MR. MICHAEL KELLY</t>
        </is>
      </c>
      <c r="E12" s="80" t="inlineStr">
        <is>
          <t>HEATHER SOLIS</t>
        </is>
      </c>
      <c r="F12" s="80" t="inlineStr">
        <is>
          <t>KIMBERLY CLARK</t>
        </is>
      </c>
      <c r="G12" s="80" t="inlineStr">
        <is>
          <t>HEATHER SOLIS</t>
        </is>
      </c>
      <c r="H12" s="80" t="inlineStr">
        <is>
          <t>138-2</t>
        </is>
      </c>
      <c r="I12" s="111">
        <f>COUNTIF(Tower_3!G:G,'All Associates'!A12)+COUNTIF(Tower_4!G:G,'All Associates'!A12)+COUNTIF(Tower_5!G:G,'All Associates'!A12)+COUNTIF(Tower_6!G:G,'All Associates'!A12)+COUNTIF(Riviera_3!G:G,'All Associates'!A12)+COUNTIF(Riviera_4!G:G,'All Associates'!A12)+COUNTIF(Riviera_5!G:G,'All Associates'!A12)</f>
        <v/>
      </c>
      <c r="J12" s="112">
        <f>IF(I12=0,"Not Allocated",IF(I12=1,"Allocated","Duplicate"))</f>
        <v/>
      </c>
    </row>
    <row r="13" hidden="1">
      <c r="A13" s="83" t="n">
        <v>1225</v>
      </c>
      <c r="B13" s="80" t="inlineStr">
        <is>
          <t>BRITTANY JACKSON</t>
        </is>
      </c>
      <c r="C13" s="86" t="inlineStr">
        <is>
          <t>Activ</t>
        </is>
      </c>
      <c r="D13" s="80" t="inlineStr">
        <is>
          <t>PHILLIP TRAVIS</t>
        </is>
      </c>
      <c r="E13" s="80" t="inlineStr">
        <is>
          <t>KIMBERLY CLARK</t>
        </is>
      </c>
      <c r="F13" s="80" t="inlineStr">
        <is>
          <t>KIMBERLY CLARK</t>
        </is>
      </c>
      <c r="G13" s="80" t="inlineStr">
        <is>
          <t>PHILLIP TRAVIS</t>
        </is>
      </c>
      <c r="H13" s="80" t="inlineStr">
        <is>
          <t>156-1</t>
        </is>
      </c>
      <c r="I13" s="111">
        <f>COUNTIF(Tower_3!G:G,'All Associates'!A13)+COUNTIF(Tower_4!G:G,'All Associates'!A13)+COUNTIF(Tower_5!G:G,'All Associates'!A13)+COUNTIF(Tower_6!G:G,'All Associates'!A13)+COUNTIF(Riviera_3!G:G,'All Associates'!A13)+COUNTIF(Riviera_4!G:G,'All Associates'!A13)+COUNTIF(Riviera_5!G:G,'All Associates'!A13)</f>
        <v/>
      </c>
      <c r="J13" s="112">
        <f>IF(I13=0,"Not Allocated",IF(I13=1,"Allocated","Duplicate"))</f>
        <v/>
      </c>
    </row>
    <row r="14" hidden="1">
      <c r="A14" s="83" t="n">
        <v>820</v>
      </c>
      <c r="B14" s="80" t="inlineStr">
        <is>
          <t>JENNIFER MOORE</t>
        </is>
      </c>
      <c r="C14" s="80" t="inlineStr">
        <is>
          <t>Activ</t>
        </is>
      </c>
      <c r="D14" s="80" t="inlineStr">
        <is>
          <t>ASHLEY FRENCH</t>
        </is>
      </c>
      <c r="E14" s="80" t="inlineStr">
        <is>
          <t>PHILLIP TRAVIS</t>
        </is>
      </c>
      <c r="F14" s="80" t="inlineStr">
        <is>
          <t>KIMBERLY CLARK</t>
        </is>
      </c>
      <c r="G14" s="80" t="inlineStr">
        <is>
          <t>PHILLIP TRAVIS</t>
        </is>
      </c>
      <c r="H14" s="80" t="inlineStr">
        <is>
          <t>156-1</t>
        </is>
      </c>
      <c r="I14" s="111">
        <f>COUNTIF(Tower_3!G:G,'All Associates'!A14)+COUNTIF(Tower_4!G:G,'All Associates'!A14)+COUNTIF(Tower_5!G:G,'All Associates'!A14)+COUNTIF(Tower_6!G:G,'All Associates'!A14)+COUNTIF(Riviera_3!G:G,'All Associates'!A14)+COUNTIF(Riviera_4!G:G,'All Associates'!A14)+COUNTIF(Riviera_5!G:G,'All Associates'!A14)</f>
        <v/>
      </c>
      <c r="J14" s="112">
        <f>IF(I14=0,"Not Allocated",IF(I14=1,"Allocated","Duplicate"))</f>
        <v/>
      </c>
    </row>
    <row r="15" hidden="1">
      <c r="A15" s="83" t="n">
        <v>1175</v>
      </c>
      <c r="B15" s="80" t="inlineStr">
        <is>
          <t>JUSTIN SPENCER</t>
        </is>
      </c>
      <c r="C15" s="80" t="inlineStr">
        <is>
          <t>Activ</t>
        </is>
      </c>
      <c r="D15" s="80" t="inlineStr">
        <is>
          <t>CHRISTOPHER HUFFMAN</t>
        </is>
      </c>
      <c r="E15" s="80" t="inlineStr">
        <is>
          <t>CHARLES POWELL</t>
        </is>
      </c>
      <c r="F15" s="80" t="inlineStr">
        <is>
          <t>KIMBERLY CLARK</t>
        </is>
      </c>
      <c r="G15" s="80" t="inlineStr">
        <is>
          <t>CHARLES POWELL</t>
        </is>
      </c>
      <c r="H15" s="80" t="inlineStr">
        <is>
          <t>138-3</t>
        </is>
      </c>
      <c r="I15" s="111">
        <f>COUNTIF(Tower_3!G:G,'All Associates'!A15)+COUNTIF(Tower_4!G:G,'All Associates'!A15)+COUNTIF(Tower_5!G:G,'All Associates'!A15)+COUNTIF(Tower_6!G:G,'All Associates'!A15)+COUNTIF(Riviera_3!G:G,'All Associates'!A15)+COUNTIF(Riviera_4!G:G,'All Associates'!A15)+COUNTIF(Riviera_5!G:G,'All Associates'!A15)</f>
        <v/>
      </c>
      <c r="J15" s="112">
        <f>IF(I15=0,"Not Allocated",IF(I15=1,"Allocated","Duplicate"))</f>
        <v/>
      </c>
    </row>
    <row r="16" hidden="1">
      <c r="A16" s="83" t="n">
        <v>982</v>
      </c>
      <c r="B16" s="80" t="inlineStr">
        <is>
          <t>CHERYL MARTINEZ</t>
        </is>
      </c>
      <c r="C16" s="80" t="inlineStr">
        <is>
          <t>Activ</t>
        </is>
      </c>
      <c r="D16" s="80" t="inlineStr">
        <is>
          <t>KIMBERLY CLARK</t>
        </is>
      </c>
      <c r="E16" s="80" t="inlineStr">
        <is>
          <t>KIMBERLY CLARK</t>
        </is>
      </c>
      <c r="F16" s="80" t="inlineStr">
        <is>
          <t>KIMBERLY CLARK</t>
        </is>
      </c>
      <c r="G16" s="80" t="inlineStr">
        <is>
          <t>CHARLES POWELL</t>
        </is>
      </c>
      <c r="H16" s="80" t="inlineStr">
        <is>
          <t>138-3</t>
        </is>
      </c>
      <c r="I16" s="111">
        <f>COUNTIF(Tower_3!G:G,'All Associates'!A16)+COUNTIF(Tower_4!G:G,'All Associates'!A16)+COUNTIF(Tower_5!G:G,'All Associates'!A16)+COUNTIF(Tower_6!G:G,'All Associates'!A16)+COUNTIF(Riviera_3!G:G,'All Associates'!A16)+COUNTIF(Riviera_4!G:G,'All Associates'!A16)+COUNTIF(Riviera_5!G:G,'All Associates'!A16)</f>
        <v/>
      </c>
      <c r="J16" s="112">
        <f>IF(I16=0,"Not Allocated",IF(I16=1,"Allocated","Duplicate"))</f>
        <v/>
      </c>
    </row>
    <row r="17" hidden="1">
      <c r="A17" s="83" t="n">
        <v>580</v>
      </c>
      <c r="B17" s="80" t="inlineStr">
        <is>
          <t>CASEY ALLEN</t>
        </is>
      </c>
      <c r="C17" s="80" t="inlineStr">
        <is>
          <t>Activ</t>
        </is>
      </c>
      <c r="D17" s="80" t="inlineStr">
        <is>
          <t>RHONDA WILLIAMS</t>
        </is>
      </c>
      <c r="E17" s="80" t="inlineStr">
        <is>
          <t>CHARLES POWELL</t>
        </is>
      </c>
      <c r="F17" s="80" t="inlineStr">
        <is>
          <t>KIMBERLY CLARK</t>
        </is>
      </c>
      <c r="G17" s="80" t="inlineStr">
        <is>
          <t>CHARLES POWELL</t>
        </is>
      </c>
      <c r="H17" s="80" t="inlineStr">
        <is>
          <t>138-3</t>
        </is>
      </c>
      <c r="I17" s="111">
        <f>COUNTIF(Tower_3!G:G,'All Associates'!A17)+COUNTIF(Tower_4!G:G,'All Associates'!A17)+COUNTIF(Tower_5!G:G,'All Associates'!A17)+COUNTIF(Tower_6!G:G,'All Associates'!A17)+COUNTIF(Riviera_3!G:G,'All Associates'!A17)+COUNTIF(Riviera_4!G:G,'All Associates'!A17)+COUNTIF(Riviera_5!G:G,'All Associates'!A17)</f>
        <v/>
      </c>
      <c r="J17" s="112">
        <f>IF(I17=0,"Not Allocated",IF(I17=1,"Allocated","Duplicate"))</f>
        <v/>
      </c>
    </row>
    <row r="18" hidden="1">
      <c r="A18" s="83" t="n">
        <v>1167</v>
      </c>
      <c r="B18" s="80" t="inlineStr">
        <is>
          <t>MICHAEL ORTIZ</t>
        </is>
      </c>
      <c r="C18" s="80" t="inlineStr">
        <is>
          <t>Activ</t>
        </is>
      </c>
      <c r="D18" s="80" t="inlineStr">
        <is>
          <t>AMY KHAN</t>
        </is>
      </c>
      <c r="E18" s="80" t="inlineStr">
        <is>
          <t>CHAD PEREZ</t>
        </is>
      </c>
      <c r="F18" s="80" t="inlineStr">
        <is>
          <t>MARISSA CROSS</t>
        </is>
      </c>
      <c r="G18" s="80" t="inlineStr">
        <is>
          <t>MARISSA CROSS</t>
        </is>
      </c>
      <c r="H18" s="80" t="inlineStr">
        <is>
          <t>220-2</t>
        </is>
      </c>
      <c r="I18" s="111">
        <f>COUNTIF(Tower_3!G:G,'All Associates'!A18)+COUNTIF(Tower_4!G:G,'All Associates'!A18)+COUNTIF(Tower_5!G:G,'All Associates'!A18)+COUNTIF(Tower_6!G:G,'All Associates'!A18)+COUNTIF(Riviera_3!G:G,'All Associates'!A18)+COUNTIF(Riviera_4!G:G,'All Associates'!A18)+COUNTIF(Riviera_5!G:G,'All Associates'!A18)</f>
        <v/>
      </c>
      <c r="J18" s="112">
        <f>IF(I18=0,"Not Allocated",IF(I18=1,"Allocated","Duplicate"))</f>
        <v/>
      </c>
    </row>
    <row r="19" hidden="1">
      <c r="A19" s="83" t="n">
        <v>859</v>
      </c>
      <c r="B19" s="80" t="inlineStr">
        <is>
          <t>KEVIN RAMOS</t>
        </is>
      </c>
      <c r="C19" s="80" t="inlineStr">
        <is>
          <t>Activ</t>
        </is>
      </c>
      <c r="D19" s="80" t="inlineStr">
        <is>
          <t>AMY KHAN</t>
        </is>
      </c>
      <c r="E19" s="80" t="inlineStr">
        <is>
          <t>CHAD PEREZ</t>
        </is>
      </c>
      <c r="F19" s="80" t="inlineStr">
        <is>
          <t>MARISSA CROSS</t>
        </is>
      </c>
      <c r="G19" s="80" t="inlineStr">
        <is>
          <t>MARISSA CROSS</t>
        </is>
      </c>
      <c r="H19" s="80" t="inlineStr">
        <is>
          <t>220-2</t>
        </is>
      </c>
      <c r="I19" s="111">
        <f>COUNTIF(Tower_3!G:G,'All Associates'!A19)+COUNTIF(Tower_4!G:G,'All Associates'!A19)+COUNTIF(Tower_5!G:G,'All Associates'!A19)+COUNTIF(Tower_6!G:G,'All Associates'!A19)+COUNTIF(Riviera_3!G:G,'All Associates'!A19)+COUNTIF(Riviera_4!G:G,'All Associates'!A19)+COUNTIF(Riviera_5!G:G,'All Associates'!A19)</f>
        <v/>
      </c>
      <c r="J19" s="112">
        <f>IF(I19=0,"Not Allocated",IF(I19=1,"Allocated","Duplicate"))</f>
        <v/>
      </c>
    </row>
    <row r="20" hidden="1">
      <c r="A20" s="83" t="n">
        <v>1199</v>
      </c>
      <c r="B20" s="80" t="inlineStr">
        <is>
          <t>TROY RODRIGUEZ</t>
        </is>
      </c>
      <c r="C20" s="80" t="inlineStr">
        <is>
          <t>Activ</t>
        </is>
      </c>
      <c r="D20" s="80" t="inlineStr">
        <is>
          <t>PETER ROBINSON</t>
        </is>
      </c>
      <c r="E20" s="80" t="inlineStr">
        <is>
          <t>MR. MICHAEL KELLY</t>
        </is>
      </c>
      <c r="F20" s="80" t="inlineStr">
        <is>
          <t>HEATHER SOLIS</t>
        </is>
      </c>
      <c r="G20" s="80" t="inlineStr">
        <is>
          <t>HEATHER SOLIS</t>
        </is>
      </c>
      <c r="H20" s="80" t="inlineStr">
        <is>
          <t>138-2</t>
        </is>
      </c>
      <c r="I20" s="111">
        <f>COUNTIF(Tower_3!G:G,'All Associates'!A20)+COUNTIF(Tower_4!G:G,'All Associates'!A20)+COUNTIF(Tower_5!G:G,'All Associates'!A20)+COUNTIF(Tower_6!G:G,'All Associates'!A20)+COUNTIF(Riviera_3!G:G,'All Associates'!A20)+COUNTIF(Riviera_4!G:G,'All Associates'!A20)+COUNTIF(Riviera_5!G:G,'All Associates'!A20)</f>
        <v/>
      </c>
      <c r="J20" s="112">
        <f>IF(I20=0,"Not Allocated",IF(I20=1,"Allocated","Duplicate"))</f>
        <v/>
      </c>
    </row>
    <row r="21" hidden="1">
      <c r="A21" s="83" t="n">
        <v>536</v>
      </c>
      <c r="B21" s="80" t="inlineStr">
        <is>
          <t>RICHARD FLYNN</t>
        </is>
      </c>
      <c r="C21" s="80" t="inlineStr">
        <is>
          <t>Activ</t>
        </is>
      </c>
      <c r="D21" s="80" t="inlineStr">
        <is>
          <t>JEREMIAH ROBLES</t>
        </is>
      </c>
      <c r="E21" s="80" t="inlineStr">
        <is>
          <t>BETH TUCKER</t>
        </is>
      </c>
      <c r="F21" s="80" t="inlineStr">
        <is>
          <t>KIMBERLY CLARK</t>
        </is>
      </c>
      <c r="G21" s="80" t="inlineStr">
        <is>
          <t>KIMBERLY CLARK</t>
        </is>
      </c>
      <c r="H21" s="80" t="inlineStr">
        <is>
          <t>156-2</t>
        </is>
      </c>
      <c r="I21" s="111">
        <f>COUNTIF(Tower_3!G:G,'All Associates'!A21)+COUNTIF(Tower_4!G:G,'All Associates'!A21)+COUNTIF(Tower_5!G:G,'All Associates'!A21)+COUNTIF(Tower_6!G:G,'All Associates'!A21)+COUNTIF(Riviera_3!G:G,'All Associates'!A21)+COUNTIF(Riviera_4!G:G,'All Associates'!A21)+COUNTIF(Riviera_5!G:G,'All Associates'!A21)</f>
        <v/>
      </c>
      <c r="J21" s="112">
        <f>IF(I21=0,"Not Allocated",IF(I21=1,"Allocated","Duplicate"))</f>
        <v/>
      </c>
    </row>
    <row r="22" hidden="1">
      <c r="A22" s="83" t="n">
        <v>1212</v>
      </c>
      <c r="B22" s="80" t="inlineStr">
        <is>
          <t>MORGAN ROBINSON</t>
        </is>
      </c>
      <c r="C22" s="80" t="inlineStr">
        <is>
          <t>Activ</t>
        </is>
      </c>
      <c r="D22" s="80" t="inlineStr">
        <is>
          <t>PHILLIP TRAVIS</t>
        </is>
      </c>
      <c r="E22" s="80" t="inlineStr">
        <is>
          <t>KIMBERLY CLARK</t>
        </is>
      </c>
      <c r="F22" s="80" t="inlineStr">
        <is>
          <t>KIMBERLY CLARK</t>
        </is>
      </c>
      <c r="G22" s="80" t="inlineStr">
        <is>
          <t>PHILLIP TRAVIS</t>
        </is>
      </c>
      <c r="H22" s="80" t="inlineStr">
        <is>
          <t>156-1</t>
        </is>
      </c>
      <c r="I22" s="111">
        <f>COUNTIF(Tower_3!G:G,'All Associates'!A22)+COUNTIF(Tower_4!G:G,'All Associates'!A22)+COUNTIF(Tower_5!G:G,'All Associates'!A22)+COUNTIF(Tower_6!G:G,'All Associates'!A22)+COUNTIF(Riviera_3!G:G,'All Associates'!A22)+COUNTIF(Riviera_4!G:G,'All Associates'!A22)+COUNTIF(Riviera_5!G:G,'All Associates'!A22)</f>
        <v/>
      </c>
      <c r="J22" s="112">
        <f>IF(I22=0,"Not Allocated",IF(I22=1,"Allocated","Duplicate"))</f>
        <v/>
      </c>
    </row>
    <row r="23" hidden="1">
      <c r="A23" s="83" t="n">
        <v>998</v>
      </c>
      <c r="B23" s="80" t="inlineStr">
        <is>
          <t>JOHN ANDREWS</t>
        </is>
      </c>
      <c r="C23" s="80" t="inlineStr">
        <is>
          <t>Activ</t>
        </is>
      </c>
      <c r="D23" s="80" t="inlineStr">
        <is>
          <t>CHRISTOPHER HUFFMAN</t>
        </is>
      </c>
      <c r="E23" s="80" t="inlineStr">
        <is>
          <t>CHARLES POWELL</t>
        </is>
      </c>
      <c r="F23" s="80" t="inlineStr">
        <is>
          <t>KIMBERLY CLARK</t>
        </is>
      </c>
      <c r="G23" s="80" t="inlineStr">
        <is>
          <t>CHARLES POWELL</t>
        </is>
      </c>
      <c r="H23" s="80" t="inlineStr">
        <is>
          <t>138-3</t>
        </is>
      </c>
      <c r="I23" s="111">
        <f>COUNTIF(Tower_3!G:G,'All Associates'!A23)+COUNTIF(Tower_4!G:G,'All Associates'!A23)+COUNTIF(Tower_5!G:G,'All Associates'!A23)+COUNTIF(Tower_6!G:G,'All Associates'!A23)+COUNTIF(Riviera_3!G:G,'All Associates'!A23)+COUNTIF(Riviera_4!G:G,'All Associates'!A23)+COUNTIF(Riviera_5!G:G,'All Associates'!A23)</f>
        <v/>
      </c>
      <c r="J23" s="112">
        <f>IF(I23=0,"Not Allocated",IF(I23=1,"Allocated","Duplicate"))</f>
        <v/>
      </c>
    </row>
    <row r="24" hidden="1">
      <c r="A24" s="83" t="n">
        <v>1077</v>
      </c>
      <c r="B24" s="80" t="inlineStr">
        <is>
          <t>STEVEN WILSON</t>
        </is>
      </c>
      <c r="C24" s="80" t="inlineStr">
        <is>
          <t>Activ</t>
        </is>
      </c>
      <c r="D24" s="80" t="inlineStr">
        <is>
          <t>NATHAN MURRAY</t>
        </is>
      </c>
      <c r="E24" s="80" t="inlineStr">
        <is>
          <t>CHARLES POWELL</t>
        </is>
      </c>
      <c r="F24" s="80" t="inlineStr">
        <is>
          <t>KIMBERLY CLARK</t>
        </is>
      </c>
      <c r="G24" s="80" t="inlineStr">
        <is>
          <t>CHARLES POWELL</t>
        </is>
      </c>
      <c r="H24" s="80" t="inlineStr">
        <is>
          <t>138-3</t>
        </is>
      </c>
      <c r="I24" s="111">
        <f>COUNTIF(Tower_3!G:G,'All Associates'!A24)+COUNTIF(Tower_4!G:G,'All Associates'!A24)+COUNTIF(Tower_5!G:G,'All Associates'!A24)+COUNTIF(Tower_6!G:G,'All Associates'!A24)+COUNTIF(Riviera_3!G:G,'All Associates'!A24)+COUNTIF(Riviera_4!G:G,'All Associates'!A24)+COUNTIF(Riviera_5!G:G,'All Associates'!A24)</f>
        <v/>
      </c>
      <c r="J24" s="112">
        <f>IF(I24=0,"Not Allocated",IF(I24=1,"Allocated","Duplicate"))</f>
        <v/>
      </c>
    </row>
    <row r="25" hidden="1">
      <c r="A25" s="83" t="n">
        <v>442</v>
      </c>
      <c r="B25" s="80" t="inlineStr">
        <is>
          <t>TARA STEVENS</t>
        </is>
      </c>
      <c r="C25" s="80" t="inlineStr">
        <is>
          <t>Activ</t>
        </is>
      </c>
      <c r="D25" s="80" t="inlineStr">
        <is>
          <t>ALLISON JACKSON</t>
        </is>
      </c>
      <c r="E25" s="80" t="inlineStr">
        <is>
          <t>ALEXANDER MILLER</t>
        </is>
      </c>
      <c r="F25" s="80" t="inlineStr">
        <is>
          <t>KIMBERLY CLARK</t>
        </is>
      </c>
      <c r="G25" s="80" t="inlineStr">
        <is>
          <t>ALEXANDER MILLER</t>
        </is>
      </c>
      <c r="H25" s="80" t="inlineStr">
        <is>
          <t>135-1</t>
        </is>
      </c>
      <c r="I25" s="111">
        <f>COUNTIF(Tower_3!G:G,'All Associates'!A25)+COUNTIF(Tower_4!G:G,'All Associates'!A25)+COUNTIF(Tower_5!G:G,'All Associates'!A25)+COUNTIF(Tower_6!G:G,'All Associates'!A25)+COUNTIF(Riviera_3!G:G,'All Associates'!A25)+COUNTIF(Riviera_4!G:G,'All Associates'!A25)+COUNTIF(Riviera_5!G:G,'All Associates'!A25)</f>
        <v/>
      </c>
      <c r="J25" s="112">
        <f>IF(I25=0,"Not Allocated",IF(I25=1,"Allocated","Duplicate"))</f>
        <v/>
      </c>
    </row>
    <row r="26" hidden="1">
      <c r="A26" s="83" t="n">
        <v>128</v>
      </c>
      <c r="B26" s="80" t="inlineStr">
        <is>
          <t>JULIA GARCIA</t>
        </is>
      </c>
      <c r="C26" s="80" t="inlineStr">
        <is>
          <t>Activ</t>
        </is>
      </c>
      <c r="D26" s="80" t="inlineStr">
        <is>
          <t>DOROTHY MARSHALL</t>
        </is>
      </c>
      <c r="E26" s="80" t="inlineStr">
        <is>
          <t>KIMBERLY CLARK</t>
        </is>
      </c>
      <c r="F26" s="80" t="inlineStr">
        <is>
          <t>KIMBERLY CLARK</t>
        </is>
      </c>
      <c r="G26" s="80" t="inlineStr">
        <is>
          <t>KIMBERLY CLARK</t>
        </is>
      </c>
      <c r="H26" s="80" t="inlineStr">
        <is>
          <t>230-1</t>
        </is>
      </c>
      <c r="I26" s="111">
        <f>COUNTIF(Tower_3!G:G,'All Associates'!A26)+COUNTIF(Tower_4!G:G,'All Associates'!A26)+COUNTIF(Tower_5!G:G,'All Associates'!A26)+COUNTIF(Tower_6!G:G,'All Associates'!A26)+COUNTIF(Riviera_3!G:G,'All Associates'!A26)+COUNTIF(Riviera_4!G:G,'All Associates'!A26)+COUNTIF(Riviera_5!G:G,'All Associates'!A26)</f>
        <v/>
      </c>
      <c r="J26" s="112">
        <f>IF(I26=0,"Not Allocated",IF(I26=1,"Allocated","Duplicate"))</f>
        <v/>
      </c>
    </row>
    <row r="27" hidden="1">
      <c r="A27" s="83" t="n">
        <v>764</v>
      </c>
      <c r="B27" s="80" t="inlineStr">
        <is>
          <t>GEORGE PARSONS</t>
        </is>
      </c>
      <c r="C27" s="80" t="inlineStr">
        <is>
          <t>Activ</t>
        </is>
      </c>
      <c r="D27" s="80" t="inlineStr">
        <is>
          <t>KATHRYN ABBOTT</t>
        </is>
      </c>
      <c r="E27" s="80" t="inlineStr">
        <is>
          <t>ALEXANDER MILLER</t>
        </is>
      </c>
      <c r="F27" s="80" t="inlineStr">
        <is>
          <t>KIMBERLY CLARK</t>
        </is>
      </c>
      <c r="G27" s="80" t="inlineStr">
        <is>
          <t>ALEXANDER MILLER</t>
        </is>
      </c>
      <c r="H27" s="80" t="inlineStr">
        <is>
          <t>135-1</t>
        </is>
      </c>
      <c r="I27" s="111">
        <f>COUNTIF(Tower_3!G:G,'All Associates'!A27)+COUNTIF(Tower_4!G:G,'All Associates'!A27)+COUNTIF(Tower_5!G:G,'All Associates'!A27)+COUNTIF(Tower_6!G:G,'All Associates'!A27)+COUNTIF(Riviera_3!G:G,'All Associates'!A27)+COUNTIF(Riviera_4!G:G,'All Associates'!A27)+COUNTIF(Riviera_5!G:G,'All Associates'!A27)</f>
        <v/>
      </c>
      <c r="J27" s="112">
        <f>IF(I27=0,"Not Allocated",IF(I27=1,"Allocated","Duplicate"))</f>
        <v/>
      </c>
    </row>
    <row r="28" hidden="1">
      <c r="A28" s="83" t="n">
        <v>655</v>
      </c>
      <c r="B28" s="80" t="inlineStr">
        <is>
          <t>JENNIFER YOUNG</t>
        </is>
      </c>
      <c r="C28" s="86" t="inlineStr">
        <is>
          <t>Activ</t>
        </is>
      </c>
      <c r="D28" s="80" t="inlineStr">
        <is>
          <t>JEREMY CASTILLO</t>
        </is>
      </c>
      <c r="E28" s="80" t="inlineStr">
        <is>
          <t>ASHLEY FRENCH</t>
        </is>
      </c>
      <c r="F28" s="80" t="inlineStr">
        <is>
          <t>PHILLIP TRAVIS</t>
        </is>
      </c>
      <c r="G28" s="80" t="inlineStr">
        <is>
          <t>PHILLIP TRAVIS</t>
        </is>
      </c>
      <c r="H28" s="80" t="inlineStr">
        <is>
          <t>156-1</t>
        </is>
      </c>
      <c r="I28" s="111">
        <f>COUNTIF(Tower_3!G:G,'All Associates'!A28)+COUNTIF(Tower_4!G:G,'All Associates'!A28)+COUNTIF(Tower_5!G:G,'All Associates'!A28)+COUNTIF(Tower_6!G:G,'All Associates'!A28)+COUNTIF(Riviera_3!G:G,'All Associates'!A28)+COUNTIF(Riviera_4!G:G,'All Associates'!A28)+COUNTIF(Riviera_5!G:G,'All Associates'!A28)</f>
        <v/>
      </c>
      <c r="J28" s="112">
        <f>IF(I28=0,"Not Allocated",IF(I28=1,"Allocated","Duplicate"))</f>
        <v/>
      </c>
    </row>
    <row r="29" hidden="1">
      <c r="A29" s="83" t="n">
        <v>345</v>
      </c>
      <c r="B29" s="80" t="inlineStr">
        <is>
          <t>CRYSTAL KRUEGER</t>
        </is>
      </c>
      <c r="C29" s="80" t="inlineStr">
        <is>
          <t>Activ</t>
        </is>
      </c>
      <c r="D29" s="80" t="inlineStr">
        <is>
          <t>LARRY KIM</t>
        </is>
      </c>
      <c r="E29" s="80" t="inlineStr">
        <is>
          <t>KENNETH CONRAD</t>
        </is>
      </c>
      <c r="F29" s="80" t="inlineStr">
        <is>
          <t>KIMBERLY CLARK</t>
        </is>
      </c>
      <c r="G29" s="80" t="inlineStr">
        <is>
          <t>KENNETH CONRAD</t>
        </is>
      </c>
      <c r="H29" s="80" t="inlineStr">
        <is>
          <t>127-1</t>
        </is>
      </c>
      <c r="I29" s="111">
        <f>COUNTIF(Tower_3!G:G,'All Associates'!A29)+COUNTIF(Tower_4!G:G,'All Associates'!A29)+COUNTIF(Tower_5!G:G,'All Associates'!A29)+COUNTIF(Tower_6!G:G,'All Associates'!A29)+COUNTIF(Riviera_3!G:G,'All Associates'!A29)+COUNTIF(Riviera_4!G:G,'All Associates'!A29)+COUNTIF(Riviera_5!G:G,'All Associates'!A29)</f>
        <v/>
      </c>
      <c r="J29" s="112">
        <f>IF(I29=0,"Not Allocated",IF(I29=1,"Allocated","Duplicate"))</f>
        <v/>
      </c>
    </row>
    <row r="30" hidden="1">
      <c r="A30" s="83" t="n">
        <v>1126</v>
      </c>
      <c r="B30" s="80" t="inlineStr">
        <is>
          <t>ALEC DUARTE</t>
        </is>
      </c>
      <c r="C30" s="80" t="inlineStr">
        <is>
          <t>Activ</t>
        </is>
      </c>
      <c r="D30" s="80" t="inlineStr">
        <is>
          <t>REBECCA VAUGHN</t>
        </is>
      </c>
      <c r="E30" s="80" t="inlineStr">
        <is>
          <t>MR. MICHAEL KELLY</t>
        </is>
      </c>
      <c r="F30" s="80" t="inlineStr">
        <is>
          <t>HEATHER SOLIS</t>
        </is>
      </c>
      <c r="G30" s="80" t="inlineStr">
        <is>
          <t>HEATHER SOLIS</t>
        </is>
      </c>
      <c r="H30" s="80" t="inlineStr">
        <is>
          <t>138-2</t>
        </is>
      </c>
      <c r="I30" s="111">
        <f>COUNTIF(Tower_3!G:G,'All Associates'!A30)+COUNTIF(Tower_4!G:G,'All Associates'!A30)+COUNTIF(Tower_5!G:G,'All Associates'!A30)+COUNTIF(Tower_6!G:G,'All Associates'!A30)+COUNTIF(Riviera_3!G:G,'All Associates'!A30)+COUNTIF(Riviera_4!G:G,'All Associates'!A30)+COUNTIF(Riviera_5!G:G,'All Associates'!A30)</f>
        <v/>
      </c>
      <c r="J30" s="112">
        <f>IF(I30=0,"Not Allocated",IF(I30=1,"Allocated","Duplicate"))</f>
        <v/>
      </c>
    </row>
    <row r="31" hidden="1">
      <c r="A31" s="83" t="n">
        <v>1082</v>
      </c>
      <c r="B31" s="80" t="inlineStr">
        <is>
          <t>IAN ELLIS</t>
        </is>
      </c>
      <c r="C31" s="80" t="inlineStr">
        <is>
          <t>Activ</t>
        </is>
      </c>
      <c r="D31" s="80" t="inlineStr">
        <is>
          <t>SUSAN RAY</t>
        </is>
      </c>
      <c r="E31" s="80" t="inlineStr">
        <is>
          <t>ALEXANDER MILLER</t>
        </is>
      </c>
      <c r="F31" s="80" t="inlineStr">
        <is>
          <t>KIMBERLY CLARK</t>
        </is>
      </c>
      <c r="G31" s="80" t="inlineStr">
        <is>
          <t>ALEXANDER MILLER</t>
        </is>
      </c>
      <c r="H31" s="80" t="inlineStr">
        <is>
          <t>196-1</t>
        </is>
      </c>
      <c r="I31" s="111">
        <f>COUNTIF(Tower_3!G:G,'All Associates'!A31)+COUNTIF(Tower_4!G:G,'All Associates'!A31)+COUNTIF(Tower_5!G:G,'All Associates'!A31)+COUNTIF(Tower_6!G:G,'All Associates'!A31)+COUNTIF(Riviera_3!G:G,'All Associates'!A31)+COUNTIF(Riviera_4!G:G,'All Associates'!A31)+COUNTIF(Riviera_5!G:G,'All Associates'!A31)</f>
        <v/>
      </c>
      <c r="J31" s="112">
        <f>IF(I31=0,"Not Allocated",IF(I31=1,"Allocated","Duplicate"))</f>
        <v/>
      </c>
    </row>
    <row r="32" hidden="1">
      <c r="A32" s="83" t="n">
        <v>1242</v>
      </c>
      <c r="B32" s="80" t="inlineStr">
        <is>
          <t>HUNTER MILLER MD</t>
        </is>
      </c>
      <c r="C32" s="80" t="inlineStr">
        <is>
          <t>Activ</t>
        </is>
      </c>
      <c r="D32" s="80" t="inlineStr">
        <is>
          <t>NATHAN MURRAY</t>
        </is>
      </c>
      <c r="E32" s="80" t="inlineStr">
        <is>
          <t>CHARLES POWELL</t>
        </is>
      </c>
      <c r="F32" s="80" t="inlineStr">
        <is>
          <t>KIMBERLY CLARK</t>
        </is>
      </c>
      <c r="G32" s="80" t="inlineStr">
        <is>
          <t>CHARLES POWELL</t>
        </is>
      </c>
      <c r="H32" s="80" t="inlineStr">
        <is>
          <t>138-3</t>
        </is>
      </c>
      <c r="I32" s="111">
        <f>COUNTIF(Tower_3!G:G,'All Associates'!A32)+COUNTIF(Tower_4!G:G,'All Associates'!A32)+COUNTIF(Tower_5!G:G,'All Associates'!A32)+COUNTIF(Tower_6!G:G,'All Associates'!A32)+COUNTIF(Riviera_3!G:G,'All Associates'!A32)+COUNTIF(Riviera_4!G:G,'All Associates'!A32)+COUNTIF(Riviera_5!G:G,'All Associates'!A32)</f>
        <v/>
      </c>
      <c r="J32" s="112">
        <f>IF(I32=0,"Not Allocated",IF(I32=1,"Allocated","Duplicate"))</f>
        <v/>
      </c>
    </row>
    <row r="33">
      <c r="A33" s="83" t="n">
        <v>593</v>
      </c>
      <c r="B33" s="80" t="inlineStr">
        <is>
          <t>JOSHUA BROWNING</t>
        </is>
      </c>
      <c r="C33" s="80" t="inlineStr">
        <is>
          <t>Activ</t>
        </is>
      </c>
      <c r="D33" s="80" t="inlineStr">
        <is>
          <t>KIMBERLY SULLIVAN</t>
        </is>
      </c>
      <c r="E33" s="80" t="inlineStr">
        <is>
          <t>MR. MICHAEL KELLY</t>
        </is>
      </c>
      <c r="F33" s="80" t="inlineStr">
        <is>
          <t>HEATHER SOLIS</t>
        </is>
      </c>
      <c r="G33" s="80" t="inlineStr">
        <is>
          <t>HEATHER SOLIS</t>
        </is>
      </c>
      <c r="H33" s="80" t="inlineStr">
        <is>
          <t>138-2</t>
        </is>
      </c>
      <c r="I33" s="111">
        <f>COUNTIF(Tower_3!G:G,'All Associates'!A33)+COUNTIF(Tower_4!G:G,'All Associates'!A33)+COUNTIF(Tower_5!G:G,'All Associates'!A33)+COUNTIF(Tower_6!G:G,'All Associates'!A33)+COUNTIF(Riviera_3!G:G,'All Associates'!A33)+COUNTIF(Riviera_4!G:G,'All Associates'!A33)+COUNTIF(Riviera_5!G:G,'All Associates'!A33)</f>
        <v/>
      </c>
      <c r="J33" s="112">
        <f>IF(I33=0,"Not Allocated",IF(I33=1,"Allocated","Duplicate"))</f>
        <v/>
      </c>
    </row>
    <row r="34" hidden="1">
      <c r="A34" s="83" t="n">
        <v>860</v>
      </c>
      <c r="B34" s="80" t="inlineStr">
        <is>
          <t>KATHRYN BECKER</t>
        </is>
      </c>
      <c r="C34" s="80" t="inlineStr">
        <is>
          <t>Activ</t>
        </is>
      </c>
      <c r="D34" s="80" t="inlineStr">
        <is>
          <t>ADRIAN WILLIAMS</t>
        </is>
      </c>
      <c r="E34" s="80" t="inlineStr">
        <is>
          <t>STEPHANIE HARVEY</t>
        </is>
      </c>
      <c r="F34" s="80" t="inlineStr">
        <is>
          <t>NATHAN HAMILTON</t>
        </is>
      </c>
      <c r="G34" s="80" t="inlineStr">
        <is>
          <t>NATHAN HAMILTON</t>
        </is>
      </c>
      <c r="H34" s="80" t="inlineStr">
        <is>
          <t>221-1</t>
        </is>
      </c>
      <c r="I34" s="111">
        <f>COUNTIF(Tower_3!G:G,'All Associates'!A34)+COUNTIF(Tower_4!G:G,'All Associates'!A34)+COUNTIF(Tower_5!G:G,'All Associates'!A34)+COUNTIF(Tower_6!G:G,'All Associates'!A34)+COUNTIF(Riviera_3!G:G,'All Associates'!A34)+COUNTIF(Riviera_4!G:G,'All Associates'!A34)+COUNTIF(Riviera_5!G:G,'All Associates'!A34)</f>
        <v/>
      </c>
      <c r="J34" s="112">
        <f>IF(I34=0,"Not Allocated",IF(I34=1,"Allocated","Duplicate"))</f>
        <v/>
      </c>
    </row>
    <row r="35" hidden="1">
      <c r="A35" s="83" t="n">
        <v>219</v>
      </c>
      <c r="B35" s="80" t="inlineStr">
        <is>
          <t>THOMAS PRINCE</t>
        </is>
      </c>
      <c r="C35" s="80" t="inlineStr">
        <is>
          <t>Activ</t>
        </is>
      </c>
      <c r="D35" s="80" t="inlineStr">
        <is>
          <t>KIMBERLY CLARK</t>
        </is>
      </c>
      <c r="E35" s="80" t="inlineStr">
        <is>
          <t>KIMBERLY CLARK</t>
        </is>
      </c>
      <c r="F35" s="80" t="inlineStr">
        <is>
          <t>KIMBERLY CLARK</t>
        </is>
      </c>
      <c r="G35" s="80" t="inlineStr">
        <is>
          <t>MARISSA CROSS</t>
        </is>
      </c>
      <c r="H35" s="80" t="inlineStr">
        <is>
          <t>220-2</t>
        </is>
      </c>
      <c r="I35" s="111">
        <f>COUNTIF(Tower_3!G:G,'All Associates'!A35)+COUNTIF(Tower_4!G:G,'All Associates'!A35)+COUNTIF(Tower_5!G:G,'All Associates'!A35)+COUNTIF(Tower_6!G:G,'All Associates'!A35)+COUNTIF(Riviera_3!G:G,'All Associates'!A35)+COUNTIF(Riviera_4!G:G,'All Associates'!A35)+COUNTIF(Riviera_5!G:G,'All Associates'!A35)</f>
        <v/>
      </c>
      <c r="J35" s="112">
        <f>IF(I35=0,"Not Allocated",IF(I35=1,"Allocated","Duplicate"))</f>
        <v/>
      </c>
    </row>
    <row r="36" hidden="1">
      <c r="A36" s="83" t="n">
        <v>844</v>
      </c>
      <c r="B36" s="80" t="inlineStr">
        <is>
          <t>JAMES VAUGHN</t>
        </is>
      </c>
      <c r="C36" s="80" t="inlineStr">
        <is>
          <t>Activ</t>
        </is>
      </c>
      <c r="D36" s="80" t="inlineStr">
        <is>
          <t>DOUGLAS LUNA</t>
        </is>
      </c>
      <c r="E36" s="80" t="inlineStr">
        <is>
          <t>ADAM SMITH</t>
        </is>
      </c>
      <c r="F36" s="80" t="inlineStr">
        <is>
          <t>PHILLIP TRAVIS</t>
        </is>
      </c>
      <c r="G36" s="80" t="inlineStr">
        <is>
          <t>PHILLIP TRAVIS</t>
        </is>
      </c>
      <c r="H36" s="80" t="inlineStr">
        <is>
          <t>156-1</t>
        </is>
      </c>
      <c r="I36" s="111">
        <f>COUNTIF(Tower_3!G:G,'All Associates'!A36)+COUNTIF(Tower_4!G:G,'All Associates'!A36)+COUNTIF(Tower_5!G:G,'All Associates'!A36)+COUNTIF(Tower_6!G:G,'All Associates'!A36)+COUNTIF(Riviera_3!G:G,'All Associates'!A36)+COUNTIF(Riviera_4!G:G,'All Associates'!A36)+COUNTIF(Riviera_5!G:G,'All Associates'!A36)</f>
        <v/>
      </c>
      <c r="J36" s="112">
        <f>IF(I36=0,"Not Allocated",IF(I36=1,"Allocated","Duplicate"))</f>
        <v/>
      </c>
    </row>
    <row r="37" hidden="1">
      <c r="A37" s="83" t="n">
        <v>1103</v>
      </c>
      <c r="B37" s="80" t="inlineStr">
        <is>
          <t>MICHAEL BARRON</t>
        </is>
      </c>
      <c r="C37" s="80" t="inlineStr">
        <is>
          <t>Activ</t>
        </is>
      </c>
      <c r="D37" s="80" t="inlineStr">
        <is>
          <t>CRYSTAL HOLLAND</t>
        </is>
      </c>
      <c r="E37" s="80" t="inlineStr">
        <is>
          <t>ALEXANDER MILLER</t>
        </is>
      </c>
      <c r="F37" s="80" t="inlineStr">
        <is>
          <t>KIMBERLY CLARK</t>
        </is>
      </c>
      <c r="G37" s="80" t="inlineStr">
        <is>
          <t>ALEXANDER MILLER</t>
        </is>
      </c>
      <c r="H37" s="80" t="inlineStr">
        <is>
          <t>135-1</t>
        </is>
      </c>
      <c r="I37" s="111">
        <f>COUNTIF(Tower_3!G:G,'All Associates'!A37)+COUNTIF(Tower_4!G:G,'All Associates'!A37)+COUNTIF(Tower_5!G:G,'All Associates'!A37)+COUNTIF(Tower_6!G:G,'All Associates'!A37)+COUNTIF(Riviera_3!G:G,'All Associates'!A37)+COUNTIF(Riviera_4!G:G,'All Associates'!A37)+COUNTIF(Riviera_5!G:G,'All Associates'!A37)</f>
        <v/>
      </c>
      <c r="J37" s="112">
        <f>IF(I37=0,"Not Allocated",IF(I37=1,"Allocated","Duplicate"))</f>
        <v/>
      </c>
    </row>
    <row r="38" hidden="1">
      <c r="A38" s="83" t="n">
        <v>1131</v>
      </c>
      <c r="B38" s="80" t="inlineStr">
        <is>
          <t>JENNIFER AVILA</t>
        </is>
      </c>
      <c r="C38" s="80" t="inlineStr">
        <is>
          <t>Activ</t>
        </is>
      </c>
      <c r="D38" s="80" t="inlineStr">
        <is>
          <t>MATTHEW BAKER</t>
        </is>
      </c>
      <c r="E38" s="80" t="inlineStr">
        <is>
          <t>MICHAEL ROSALES</t>
        </is>
      </c>
      <c r="F38" s="80" t="inlineStr">
        <is>
          <t>BETH TUCKER</t>
        </is>
      </c>
      <c r="G38" s="80" t="inlineStr">
        <is>
          <t>KIMBERLY CLARK</t>
        </is>
      </c>
      <c r="H38" s="80" t="inlineStr">
        <is>
          <t>156-2</t>
        </is>
      </c>
      <c r="I38" s="111">
        <f>COUNTIF(Tower_3!G:G,'All Associates'!A38)+COUNTIF(Tower_4!G:G,'All Associates'!A38)+COUNTIF(Tower_5!G:G,'All Associates'!A38)+COUNTIF(Tower_6!G:G,'All Associates'!A38)+COUNTIF(Riviera_3!G:G,'All Associates'!A38)+COUNTIF(Riviera_4!G:G,'All Associates'!A38)+COUNTIF(Riviera_5!G:G,'All Associates'!A38)</f>
        <v/>
      </c>
      <c r="J38" s="112">
        <f>IF(I38=0,"Not Allocated",IF(I38=1,"Allocated","Duplicate"))</f>
        <v/>
      </c>
    </row>
    <row r="39" hidden="1">
      <c r="A39" s="83" t="n">
        <v>752</v>
      </c>
      <c r="B39" s="80" t="inlineStr">
        <is>
          <t>KENNETH BRYANT</t>
        </is>
      </c>
      <c r="C39" s="80" t="inlineStr">
        <is>
          <t>Activ</t>
        </is>
      </c>
      <c r="D39" s="80" t="inlineStr">
        <is>
          <t>REBECCA VAUGHN</t>
        </is>
      </c>
      <c r="E39" s="80" t="inlineStr">
        <is>
          <t>MR. MICHAEL KELLY</t>
        </is>
      </c>
      <c r="F39" s="80" t="inlineStr">
        <is>
          <t>HEATHER SOLIS</t>
        </is>
      </c>
      <c r="G39" s="80" t="inlineStr">
        <is>
          <t>HEATHER SOLIS</t>
        </is>
      </c>
      <c r="H39" s="80" t="inlineStr">
        <is>
          <t>138-2</t>
        </is>
      </c>
      <c r="I39" s="111">
        <f>COUNTIF(Tower_3!G:G,'All Associates'!A39)+COUNTIF(Tower_4!G:G,'All Associates'!A39)+COUNTIF(Tower_5!G:G,'All Associates'!A39)+COUNTIF(Tower_6!G:G,'All Associates'!A39)+COUNTIF(Riviera_3!G:G,'All Associates'!A39)+COUNTIF(Riviera_4!G:G,'All Associates'!A39)+COUNTIF(Riviera_5!G:G,'All Associates'!A39)</f>
        <v/>
      </c>
      <c r="J39" s="112">
        <f>IF(I39=0,"Not Allocated",IF(I39=1,"Allocated","Duplicate"))</f>
        <v/>
      </c>
    </row>
    <row r="40" hidden="1">
      <c r="A40" s="83" t="n">
        <v>1020</v>
      </c>
      <c r="B40" s="80" t="inlineStr">
        <is>
          <t>MAX POWERS</t>
        </is>
      </c>
      <c r="C40" s="80" t="inlineStr">
        <is>
          <t>Activ</t>
        </is>
      </c>
      <c r="D40" s="80" t="inlineStr">
        <is>
          <t>KAREN HENDERSON</t>
        </is>
      </c>
      <c r="E40" s="80" t="inlineStr">
        <is>
          <t>BETH TUCKER</t>
        </is>
      </c>
      <c r="F40" s="80" t="inlineStr">
        <is>
          <t>KIMBERLY CLARK</t>
        </is>
      </c>
      <c r="G40" s="80" t="inlineStr">
        <is>
          <t>KIMBERLY CLARK</t>
        </is>
      </c>
      <c r="H40" s="80" t="inlineStr">
        <is>
          <t>156-2</t>
        </is>
      </c>
      <c r="I40" s="111">
        <f>COUNTIF(Tower_3!G:G,'All Associates'!A40)+COUNTIF(Tower_4!G:G,'All Associates'!A40)+COUNTIF(Tower_5!G:G,'All Associates'!A40)+COUNTIF(Tower_6!G:G,'All Associates'!A40)+COUNTIF(Riviera_3!G:G,'All Associates'!A40)+COUNTIF(Riviera_4!G:G,'All Associates'!A40)+COUNTIF(Riviera_5!G:G,'All Associates'!A40)</f>
        <v/>
      </c>
      <c r="J40" s="112">
        <f>IF(I40=0,"Not Allocated",IF(I40=1,"Allocated","Duplicate"))</f>
        <v/>
      </c>
    </row>
    <row r="41" hidden="1">
      <c r="A41" s="83" t="n">
        <v>716</v>
      </c>
      <c r="B41" t="inlineStr">
        <is>
          <t>LEONARD DAVIS</t>
        </is>
      </c>
      <c r="C41" s="86" t="inlineStr">
        <is>
          <t>Activ</t>
        </is>
      </c>
      <c r="D41" s="80" t="inlineStr">
        <is>
          <t>STEPHANIE HANSEN</t>
        </is>
      </c>
      <c r="E41" s="80" t="inlineStr">
        <is>
          <t>HEATHER SOLIS</t>
        </is>
      </c>
      <c r="F41" s="80" t="inlineStr">
        <is>
          <t>KIMBERLY CLARK</t>
        </is>
      </c>
      <c r="G41" s="80" t="inlineStr">
        <is>
          <t>HEATHER SOLIS</t>
        </is>
      </c>
      <c r="H41" s="80" t="inlineStr">
        <is>
          <t>138-1</t>
        </is>
      </c>
      <c r="I41" s="111">
        <f>COUNTIF(Tower_3!G:G,'All Associates'!A41)+COUNTIF(Tower_4!G:G,'All Associates'!A41)+COUNTIF(Tower_5!G:G,'All Associates'!A41)+COUNTIF(Tower_6!G:G,'All Associates'!A41)+COUNTIF(Riviera_3!G:G,'All Associates'!A41)+COUNTIF(Riviera_4!G:G,'All Associates'!A41)+COUNTIF(Riviera_5!G:G,'All Associates'!A41)</f>
        <v/>
      </c>
      <c r="J41" s="112">
        <f>IF(I41=0,"Not Allocated",IF(I41=1,"Allocated","Duplicate"))</f>
        <v/>
      </c>
    </row>
    <row r="42" hidden="1">
      <c r="A42" s="83" t="n">
        <v>507</v>
      </c>
      <c r="B42" s="80" t="inlineStr">
        <is>
          <t>JACOB LEE</t>
        </is>
      </c>
      <c r="C42" s="80" t="inlineStr">
        <is>
          <t>Activ</t>
        </is>
      </c>
      <c r="D42" s="80" t="inlineStr">
        <is>
          <t>DANIEL ALVAREZ</t>
        </is>
      </c>
      <c r="E42" s="80" t="inlineStr">
        <is>
          <t>ALEXANDER BAUTISTA</t>
        </is>
      </c>
      <c r="F42" s="80" t="inlineStr">
        <is>
          <t>HEATHER SOLIS</t>
        </is>
      </c>
      <c r="G42" s="80" t="inlineStr">
        <is>
          <t>HEATHER SOLIS</t>
        </is>
      </c>
      <c r="H42" s="80" t="inlineStr">
        <is>
          <t>138-1</t>
        </is>
      </c>
      <c r="I42" s="111">
        <f>COUNTIF(Tower_3!G:G,'All Associates'!A42)+COUNTIF(Tower_4!G:G,'All Associates'!A42)+COUNTIF(Tower_5!G:G,'All Associates'!A42)+COUNTIF(Tower_6!G:G,'All Associates'!A42)+COUNTIF(Riviera_3!G:G,'All Associates'!A42)+COUNTIF(Riviera_4!G:G,'All Associates'!A42)+COUNTIF(Riviera_5!G:G,'All Associates'!A42)</f>
        <v/>
      </c>
      <c r="J42" s="112">
        <f>IF(I42=0,"Not Allocated",IF(I42=1,"Allocated","Duplicate"))</f>
        <v/>
      </c>
    </row>
    <row r="43" hidden="1">
      <c r="A43" s="83" t="n">
        <v>1033</v>
      </c>
      <c r="B43" s="80" t="inlineStr">
        <is>
          <t>ROBERT BROWN</t>
        </is>
      </c>
      <c r="C43" s="80" t="inlineStr">
        <is>
          <t>Activ</t>
        </is>
      </c>
      <c r="D43" s="80" t="inlineStr">
        <is>
          <t>BETH TUCKER</t>
        </is>
      </c>
      <c r="E43" s="80" t="inlineStr">
        <is>
          <t>KIMBERLY CLARK</t>
        </is>
      </c>
      <c r="F43" s="80" t="inlineStr">
        <is>
          <t>KIMBERLY CLARK</t>
        </is>
      </c>
      <c r="G43" s="80" t="inlineStr">
        <is>
          <t>KIMBERLY CLARK</t>
        </is>
      </c>
      <c r="H43" s="80" t="inlineStr">
        <is>
          <t>156-2</t>
        </is>
      </c>
      <c r="I43" s="111">
        <f>COUNTIF(Tower_3!G:G,'All Associates'!A43)+COUNTIF(Tower_4!G:G,'All Associates'!A43)+COUNTIF(Tower_5!G:G,'All Associates'!A43)+COUNTIF(Tower_6!G:G,'All Associates'!A43)+COUNTIF(Riviera_3!G:G,'All Associates'!A43)+COUNTIF(Riviera_4!G:G,'All Associates'!A43)+COUNTIF(Riviera_5!G:G,'All Associates'!A43)</f>
        <v/>
      </c>
      <c r="J43" s="112">
        <f>IF(I43=0,"Not Allocated",IF(I43=1,"Allocated","Duplicate"))</f>
        <v/>
      </c>
    </row>
    <row r="44" hidden="1">
      <c r="A44" s="83" t="n">
        <v>604</v>
      </c>
      <c r="B44" s="80" t="inlineStr">
        <is>
          <t>NICHOLAS SIMMONS</t>
        </is>
      </c>
      <c r="C44" s="80" t="inlineStr">
        <is>
          <t>Activ</t>
        </is>
      </c>
      <c r="D44" s="80" t="inlineStr">
        <is>
          <t>MELISSA GARZA</t>
        </is>
      </c>
      <c r="E44" s="80" t="inlineStr">
        <is>
          <t>ASHLEY FRENCH</t>
        </is>
      </c>
      <c r="F44" s="80" t="inlineStr">
        <is>
          <t>PHILLIP TRAVIS</t>
        </is>
      </c>
      <c r="G44" s="80" t="inlineStr">
        <is>
          <t>PHILLIP TRAVIS</t>
        </is>
      </c>
      <c r="H44" s="80" t="inlineStr">
        <is>
          <t>156-1</t>
        </is>
      </c>
      <c r="I44" s="111">
        <f>COUNTIF(Tower_3!G:G,'All Associates'!A44)+COUNTIF(Tower_4!G:G,'All Associates'!A44)+COUNTIF(Tower_5!G:G,'All Associates'!A44)+COUNTIF(Tower_6!G:G,'All Associates'!A44)+COUNTIF(Riviera_3!G:G,'All Associates'!A44)+COUNTIF(Riviera_4!G:G,'All Associates'!A44)+COUNTIF(Riviera_5!G:G,'All Associates'!A44)</f>
        <v/>
      </c>
      <c r="J44" s="112">
        <f>IF(I44=0,"Not Allocated",IF(I44=1,"Allocated","Duplicate"))</f>
        <v/>
      </c>
    </row>
    <row r="45" hidden="1">
      <c r="A45" s="83" t="n">
        <v>473</v>
      </c>
      <c r="B45" s="80" t="inlineStr">
        <is>
          <t>JAMES GARCIA</t>
        </is>
      </c>
      <c r="C45" s="80" t="inlineStr">
        <is>
          <t>Activ</t>
        </is>
      </c>
      <c r="D45" s="80" t="inlineStr">
        <is>
          <t>OSCAR TYLER</t>
        </is>
      </c>
      <c r="E45" s="80" t="inlineStr">
        <is>
          <t>KENNETH CONRAD</t>
        </is>
      </c>
      <c r="F45" s="80" t="inlineStr">
        <is>
          <t>KIMBERLY CLARK</t>
        </is>
      </c>
      <c r="G45" s="80" t="inlineStr">
        <is>
          <t>KENNETH CONRAD</t>
        </is>
      </c>
      <c r="H45" s="80" t="inlineStr">
        <is>
          <t>127-1</t>
        </is>
      </c>
      <c r="I45" s="111">
        <f>COUNTIF(Tower_3!G:G,'All Associates'!A45)+COUNTIF(Tower_4!G:G,'All Associates'!A45)+COUNTIF(Tower_5!G:G,'All Associates'!A45)+COUNTIF(Tower_6!G:G,'All Associates'!A45)+COUNTIF(Riviera_3!G:G,'All Associates'!A45)+COUNTIF(Riviera_4!G:G,'All Associates'!A45)+COUNTIF(Riviera_5!G:G,'All Associates'!A45)</f>
        <v/>
      </c>
      <c r="J45" s="112">
        <f>IF(I45=0,"Not Allocated",IF(I45=1,"Allocated","Duplicate"))</f>
        <v/>
      </c>
    </row>
    <row r="46" hidden="1">
      <c r="A46" s="83" t="n">
        <v>1139</v>
      </c>
      <c r="B46" s="80" t="inlineStr">
        <is>
          <t>STEVEN COOK</t>
        </is>
      </c>
      <c r="C46" s="80" t="inlineStr">
        <is>
          <t>Activ</t>
        </is>
      </c>
      <c r="D46" s="80" t="inlineStr">
        <is>
          <t>JORDAN MARQUEZ</t>
        </is>
      </c>
      <c r="E46" s="80" t="inlineStr">
        <is>
          <t>JEFFREY JONES</t>
        </is>
      </c>
      <c r="F46" s="80" t="inlineStr">
        <is>
          <t>NATHAN HAMILTON</t>
        </is>
      </c>
      <c r="G46" s="80" t="inlineStr">
        <is>
          <t>NATHAN HAMILTON</t>
        </is>
      </c>
      <c r="H46" s="80" t="inlineStr">
        <is>
          <t>221-1</t>
        </is>
      </c>
      <c r="I46" s="111">
        <f>COUNTIF(Tower_3!G:G,'All Associates'!A46)+COUNTIF(Tower_4!G:G,'All Associates'!A46)+COUNTIF(Tower_5!G:G,'All Associates'!A46)+COUNTIF(Tower_6!G:G,'All Associates'!A46)+COUNTIF(Riviera_3!G:G,'All Associates'!A46)+COUNTIF(Riviera_4!G:G,'All Associates'!A46)+COUNTIF(Riviera_5!G:G,'All Associates'!A46)</f>
        <v/>
      </c>
      <c r="J46" s="112">
        <f>IF(I46=0,"Not Allocated",IF(I46=1,"Allocated","Duplicate"))</f>
        <v/>
      </c>
    </row>
    <row r="47" hidden="1">
      <c r="A47" s="83" t="n">
        <v>285</v>
      </c>
      <c r="B47" s="80" t="inlineStr">
        <is>
          <t>STEVEN GATES</t>
        </is>
      </c>
      <c r="C47" s="80" t="inlineStr">
        <is>
          <t>Activ</t>
        </is>
      </c>
      <c r="D47" s="80" t="inlineStr">
        <is>
          <t>EDDIE DAY</t>
        </is>
      </c>
      <c r="E47" s="80" t="inlineStr">
        <is>
          <t>STEPHANIE WEAVER</t>
        </is>
      </c>
      <c r="F47" s="80" t="inlineStr">
        <is>
          <t>MARISSA CROSS</t>
        </is>
      </c>
      <c r="G47" s="80" t="inlineStr">
        <is>
          <t>MARISSA CROSS</t>
        </is>
      </c>
      <c r="H47" s="80" t="inlineStr">
        <is>
          <t>220-2</t>
        </is>
      </c>
      <c r="I47" s="111">
        <f>COUNTIF(Tower_3!G:G,'All Associates'!A47)+COUNTIF(Tower_4!G:G,'All Associates'!A47)+COUNTIF(Tower_5!G:G,'All Associates'!A47)+COUNTIF(Tower_6!G:G,'All Associates'!A47)+COUNTIF(Riviera_3!G:G,'All Associates'!A47)+COUNTIF(Riviera_4!G:G,'All Associates'!A47)+COUNTIF(Riviera_5!G:G,'All Associates'!A47)</f>
        <v/>
      </c>
      <c r="J47" s="112">
        <f>IF(I47=0,"Not Allocated",IF(I47=1,"Allocated","Duplicate"))</f>
        <v/>
      </c>
    </row>
    <row r="48" hidden="1">
      <c r="A48" s="83" t="n">
        <v>1002</v>
      </c>
      <c r="B48" s="80" t="inlineStr">
        <is>
          <t>CARL HANNA</t>
        </is>
      </c>
      <c r="C48" s="80" t="inlineStr">
        <is>
          <t>Activ</t>
        </is>
      </c>
      <c r="D48" s="80" t="inlineStr">
        <is>
          <t>SUSAN RAY</t>
        </is>
      </c>
      <c r="E48" s="80" t="inlineStr">
        <is>
          <t>ALEXANDER MILLER</t>
        </is>
      </c>
      <c r="F48" s="80" t="inlineStr">
        <is>
          <t>KIMBERLY CLARK</t>
        </is>
      </c>
      <c r="G48" s="80" t="inlineStr">
        <is>
          <t>ALEXANDER MILLER</t>
        </is>
      </c>
      <c r="H48" s="80" t="inlineStr">
        <is>
          <t>196-1</t>
        </is>
      </c>
      <c r="I48" s="111">
        <f>COUNTIF(Tower_3!G:G,'All Associates'!A48)+COUNTIF(Tower_4!G:G,'All Associates'!A48)+COUNTIF(Tower_5!G:G,'All Associates'!A48)+COUNTIF(Tower_6!G:G,'All Associates'!A48)+COUNTIF(Riviera_3!G:G,'All Associates'!A48)+COUNTIF(Riviera_4!G:G,'All Associates'!A48)+COUNTIF(Riviera_5!G:G,'All Associates'!A48)</f>
        <v/>
      </c>
      <c r="J48" s="112">
        <f>IF(I48=0,"Not Allocated",IF(I48=1,"Allocated","Duplicate"))</f>
        <v/>
      </c>
    </row>
    <row r="49" hidden="1">
      <c r="A49" s="83" t="n">
        <v>1075</v>
      </c>
      <c r="B49" s="80" t="inlineStr">
        <is>
          <t>CHRISTOPHER PRICE</t>
        </is>
      </c>
      <c r="C49" s="80" t="inlineStr">
        <is>
          <t>Activ</t>
        </is>
      </c>
      <c r="D49" s="80" t="inlineStr">
        <is>
          <t>DONALD WHITE</t>
        </is>
      </c>
      <c r="E49" s="80" t="inlineStr">
        <is>
          <t>MARISSA CROSS</t>
        </is>
      </c>
      <c r="F49" s="80" t="inlineStr">
        <is>
          <t>KIMBERLY CLARK</t>
        </is>
      </c>
      <c r="G49" s="80" t="inlineStr">
        <is>
          <t>MARISSA CROSS</t>
        </is>
      </c>
      <c r="H49" s="80" t="inlineStr">
        <is>
          <t>220-2</t>
        </is>
      </c>
      <c r="I49" s="111">
        <f>COUNTIF(Tower_3!G:G,'All Associates'!A49)+COUNTIF(Tower_4!G:G,'All Associates'!A49)+COUNTIF(Tower_5!G:G,'All Associates'!A49)+COUNTIF(Tower_6!G:G,'All Associates'!A49)+COUNTIF(Riviera_3!G:G,'All Associates'!A49)+COUNTIF(Riviera_4!G:G,'All Associates'!A49)+COUNTIF(Riviera_5!G:G,'All Associates'!A49)</f>
        <v/>
      </c>
      <c r="J49" s="112">
        <f>IF(I49=0,"Not Allocated",IF(I49=1,"Allocated","Duplicate"))</f>
        <v/>
      </c>
    </row>
    <row r="50" hidden="1">
      <c r="A50" s="83" t="n">
        <v>368</v>
      </c>
      <c r="B50" s="80" t="inlineStr">
        <is>
          <t>VINCENT GILL</t>
        </is>
      </c>
      <c r="C50" s="80" t="inlineStr">
        <is>
          <t>Activ</t>
        </is>
      </c>
      <c r="D50" s="80" t="inlineStr">
        <is>
          <t>STEPHANIE WEAVER</t>
        </is>
      </c>
      <c r="E50" s="80" t="inlineStr">
        <is>
          <t>MARISSA CROSS</t>
        </is>
      </c>
      <c r="F50" s="80" t="inlineStr">
        <is>
          <t>KIMBERLY CLARK</t>
        </is>
      </c>
      <c r="G50" s="80" t="inlineStr">
        <is>
          <t>MARISSA CROSS</t>
        </is>
      </c>
      <c r="H50" s="80" t="inlineStr">
        <is>
          <t>220-2</t>
        </is>
      </c>
      <c r="I50" s="111">
        <f>COUNTIF(Tower_3!G:G,'All Associates'!A50)+COUNTIF(Tower_4!G:G,'All Associates'!A50)+COUNTIF(Tower_5!G:G,'All Associates'!A50)+COUNTIF(Tower_6!G:G,'All Associates'!A50)+COUNTIF(Riviera_3!G:G,'All Associates'!A50)+COUNTIF(Riviera_4!G:G,'All Associates'!A50)+COUNTIF(Riviera_5!G:G,'All Associates'!A50)</f>
        <v/>
      </c>
      <c r="J50" s="112">
        <f>IF(I50=0,"Not Allocated",IF(I50=1,"Allocated","Duplicate"))</f>
        <v/>
      </c>
    </row>
    <row r="51" hidden="1">
      <c r="A51" s="83" t="n">
        <v>1142</v>
      </c>
      <c r="B51" s="80" t="inlineStr">
        <is>
          <t>JOSHUA OROZCO</t>
        </is>
      </c>
      <c r="C51" s="80" t="inlineStr">
        <is>
          <t>Activ</t>
        </is>
      </c>
      <c r="D51" s="80" t="inlineStr">
        <is>
          <t>JOSHUA FRENCH</t>
        </is>
      </c>
      <c r="E51" s="80" t="inlineStr">
        <is>
          <t>STEPHANIE WEAVER</t>
        </is>
      </c>
      <c r="F51" s="80" t="inlineStr">
        <is>
          <t>MARISSA CROSS</t>
        </is>
      </c>
      <c r="G51" s="80" t="inlineStr">
        <is>
          <t>MARISSA CROSS</t>
        </is>
      </c>
      <c r="H51" s="80" t="inlineStr">
        <is>
          <t>220-2</t>
        </is>
      </c>
      <c r="I51" s="111">
        <f>COUNTIF(Tower_3!G:G,'All Associates'!A51)+COUNTIF(Tower_4!G:G,'All Associates'!A51)+COUNTIF(Tower_5!G:G,'All Associates'!A51)+COUNTIF(Tower_6!G:G,'All Associates'!A51)+COUNTIF(Riviera_3!G:G,'All Associates'!A51)+COUNTIF(Riviera_4!G:G,'All Associates'!A51)+COUNTIF(Riviera_5!G:G,'All Associates'!A51)</f>
        <v/>
      </c>
      <c r="J51" s="112">
        <f>IF(I51=0,"Not Allocated",IF(I51=1,"Allocated","Duplicate"))</f>
        <v/>
      </c>
    </row>
    <row r="52" hidden="1">
      <c r="A52" s="83" t="n">
        <v>1003</v>
      </c>
      <c r="B52" s="80" t="inlineStr">
        <is>
          <t>REBECCA WATSON</t>
        </is>
      </c>
      <c r="C52" s="80" t="inlineStr">
        <is>
          <t>Activ</t>
        </is>
      </c>
      <c r="D52" s="80" t="inlineStr">
        <is>
          <t>EDDIE DAY</t>
        </is>
      </c>
      <c r="E52" s="80" t="inlineStr">
        <is>
          <t>STEPHANIE WEAVER</t>
        </is>
      </c>
      <c r="F52" s="80" t="inlineStr">
        <is>
          <t>MARISSA CROSS</t>
        </is>
      </c>
      <c r="G52" s="80" t="inlineStr">
        <is>
          <t>MARISSA CROSS</t>
        </is>
      </c>
      <c r="H52" s="80" t="inlineStr">
        <is>
          <t>220-2</t>
        </is>
      </c>
      <c r="I52" s="111">
        <f>COUNTIF(Tower_3!G:G,'All Associates'!A52)+COUNTIF(Tower_4!G:G,'All Associates'!A52)+COUNTIF(Tower_5!G:G,'All Associates'!A52)+COUNTIF(Tower_6!G:G,'All Associates'!A52)+COUNTIF(Riviera_3!G:G,'All Associates'!A52)+COUNTIF(Riviera_4!G:G,'All Associates'!A52)+COUNTIF(Riviera_5!G:G,'All Associates'!A52)</f>
        <v/>
      </c>
      <c r="J52" s="112">
        <f>IF(I52=0,"Not Allocated",IF(I52=1,"Allocated","Duplicate"))</f>
        <v/>
      </c>
    </row>
    <row r="53" hidden="1">
      <c r="A53" s="85" t="n">
        <v>680</v>
      </c>
      <c r="B53" t="inlineStr">
        <is>
          <t>RAYMOND CRUZ</t>
        </is>
      </c>
      <c r="C53" s="86" t="inlineStr">
        <is>
          <t>Activ</t>
        </is>
      </c>
      <c r="D53" s="86" t="inlineStr">
        <is>
          <t>OSCAR TYLER</t>
        </is>
      </c>
      <c r="E53" s="86" t="inlineStr">
        <is>
          <t>KENNETH CONRAD</t>
        </is>
      </c>
      <c r="F53" s="86" t="inlineStr">
        <is>
          <t>KIMBERLY CLARK</t>
        </is>
      </c>
      <c r="G53" s="86" t="inlineStr">
        <is>
          <t>KENNETH CONRAD</t>
        </is>
      </c>
      <c r="H53" s="87" t="inlineStr">
        <is>
          <t>127-1</t>
        </is>
      </c>
      <c r="I53" s="111">
        <f>COUNTIF(Tower_3!G:G,'All Associates'!A53)+COUNTIF(Tower_4!G:G,'All Associates'!A53)+COUNTIF(Tower_5!G:G,'All Associates'!A53)+COUNTIF(Tower_6!G:G,'All Associates'!A53)+COUNTIF(Riviera_3!G:G,'All Associates'!A53)+COUNTIF(Riviera_4!G:G,'All Associates'!A53)+COUNTIF(Riviera_5!G:G,'All Associates'!A53)</f>
        <v/>
      </c>
      <c r="J53" s="112">
        <f>IF(I53=0,"Not Allocated",IF(I53=1,"Allocated","Duplicate"))</f>
        <v/>
      </c>
    </row>
    <row r="54" hidden="1">
      <c r="A54" s="83" t="n">
        <v>796</v>
      </c>
      <c r="B54" s="80" t="inlineStr">
        <is>
          <t>KEVIN KING</t>
        </is>
      </c>
      <c r="C54" s="80" t="inlineStr">
        <is>
          <t>Activ</t>
        </is>
      </c>
      <c r="D54" s="80" t="inlineStr">
        <is>
          <t>LOUIS PETERSEN</t>
        </is>
      </c>
      <c r="E54" s="80" t="inlineStr">
        <is>
          <t>KENNETH CONRAD</t>
        </is>
      </c>
      <c r="F54" s="80" t="inlineStr">
        <is>
          <t>KIMBERLY CLARK</t>
        </is>
      </c>
      <c r="G54" s="80" t="inlineStr">
        <is>
          <t>KENNETH CONRAD</t>
        </is>
      </c>
      <c r="H54" s="80" t="inlineStr">
        <is>
          <t>127-1</t>
        </is>
      </c>
      <c r="I54" s="111">
        <f>COUNTIF(Tower_3!G:G,'All Associates'!A54)+COUNTIF(Tower_4!G:G,'All Associates'!A54)+COUNTIF(Tower_5!G:G,'All Associates'!A54)+COUNTIF(Tower_6!G:G,'All Associates'!A54)+COUNTIF(Riviera_3!G:G,'All Associates'!A54)+COUNTIF(Riviera_4!G:G,'All Associates'!A54)+COUNTIF(Riviera_5!G:G,'All Associates'!A54)</f>
        <v/>
      </c>
      <c r="J54" s="112">
        <f>IF(I54=0,"Not Allocated",IF(I54=1,"Allocated","Duplicate"))</f>
        <v/>
      </c>
    </row>
    <row r="55" hidden="1">
      <c r="A55" s="83" t="n">
        <v>450</v>
      </c>
      <c r="B55" s="80" t="inlineStr">
        <is>
          <t>MICHAEL CASEY</t>
        </is>
      </c>
      <c r="C55" s="80" t="inlineStr">
        <is>
          <t>Activ</t>
        </is>
      </c>
      <c r="D55" s="80" t="inlineStr">
        <is>
          <t>KENNETH CONRAD</t>
        </is>
      </c>
      <c r="E55" s="80" t="inlineStr">
        <is>
          <t>KIMBERLY CLARK</t>
        </is>
      </c>
      <c r="F55" s="80" t="inlineStr">
        <is>
          <t>KIMBERLY CLARK</t>
        </is>
      </c>
      <c r="G55" s="80" t="inlineStr">
        <is>
          <t>KENNETH CONRAD</t>
        </is>
      </c>
      <c r="H55" s="80" t="inlineStr">
        <is>
          <t>133-1</t>
        </is>
      </c>
      <c r="I55" s="111">
        <f>COUNTIF(Tower_3!G:G,'All Associates'!A55)+COUNTIF(Tower_4!G:G,'All Associates'!A55)+COUNTIF(Tower_5!G:G,'All Associates'!A55)+COUNTIF(Tower_6!G:G,'All Associates'!A55)+COUNTIF(Riviera_3!G:G,'All Associates'!A55)+COUNTIF(Riviera_4!G:G,'All Associates'!A55)+COUNTIF(Riviera_5!G:G,'All Associates'!A55)</f>
        <v/>
      </c>
      <c r="J55" s="112">
        <f>IF(I55=0,"Not Allocated",IF(I55=1,"Allocated","Duplicate"))</f>
        <v/>
      </c>
    </row>
    <row r="56" hidden="1">
      <c r="A56" s="83" t="n">
        <v>404</v>
      </c>
      <c r="B56" s="80" t="inlineStr">
        <is>
          <t>THOMAS NOBLE</t>
        </is>
      </c>
      <c r="C56" s="80" t="inlineStr">
        <is>
          <t>Activ</t>
        </is>
      </c>
      <c r="D56" s="80" t="inlineStr">
        <is>
          <t>ALEXANDER BAUTISTA</t>
        </is>
      </c>
      <c r="E56" s="80" t="inlineStr">
        <is>
          <t>HEATHER SOLIS</t>
        </is>
      </c>
      <c r="F56" s="80" t="inlineStr">
        <is>
          <t>KIMBERLY CLARK</t>
        </is>
      </c>
      <c r="G56" s="80" t="inlineStr">
        <is>
          <t>HEATHER SOLIS</t>
        </is>
      </c>
      <c r="H56" s="80" t="inlineStr">
        <is>
          <t>138-1</t>
        </is>
      </c>
      <c r="I56" s="111">
        <f>COUNTIF(Tower_3!G:G,'All Associates'!A56)+COUNTIF(Tower_4!G:G,'All Associates'!A56)+COUNTIF(Tower_5!G:G,'All Associates'!A56)+COUNTIF(Tower_6!G:G,'All Associates'!A56)+COUNTIF(Riviera_3!G:G,'All Associates'!A56)+COUNTIF(Riviera_4!G:G,'All Associates'!A56)+COUNTIF(Riviera_5!G:G,'All Associates'!A56)</f>
        <v/>
      </c>
      <c r="J56" s="112">
        <f>IF(I56=0,"Not Allocated",IF(I56=1,"Allocated","Duplicate"))</f>
        <v/>
      </c>
    </row>
    <row r="57" hidden="1">
      <c r="A57" s="83" t="n">
        <v>348</v>
      </c>
      <c r="B57" s="80" t="inlineStr">
        <is>
          <t>MARC TODD</t>
        </is>
      </c>
      <c r="C57" s="80" t="inlineStr">
        <is>
          <t>Activ</t>
        </is>
      </c>
      <c r="D57" s="80" t="inlineStr">
        <is>
          <t>LARRY KIM</t>
        </is>
      </c>
      <c r="E57" s="80" t="inlineStr">
        <is>
          <t>KENNETH CONRAD</t>
        </is>
      </c>
      <c r="F57" s="80" t="inlineStr">
        <is>
          <t>KIMBERLY CLARK</t>
        </is>
      </c>
      <c r="G57" s="80" t="inlineStr">
        <is>
          <t>KENNETH CONRAD</t>
        </is>
      </c>
      <c r="H57" s="80" t="inlineStr">
        <is>
          <t>127-1</t>
        </is>
      </c>
      <c r="I57" s="111">
        <f>COUNTIF(Tower_3!G:G,'All Associates'!A57)+COUNTIF(Tower_4!G:G,'All Associates'!A57)+COUNTIF(Tower_5!G:G,'All Associates'!A57)+COUNTIF(Tower_6!G:G,'All Associates'!A57)+COUNTIF(Riviera_3!G:G,'All Associates'!A57)+COUNTIF(Riviera_4!G:G,'All Associates'!A57)+COUNTIF(Riviera_5!G:G,'All Associates'!A57)</f>
        <v/>
      </c>
      <c r="J57" s="112">
        <f>IF(I57=0,"Not Allocated",IF(I57=1,"Allocated","Duplicate"))</f>
        <v/>
      </c>
    </row>
    <row r="58" hidden="1">
      <c r="A58" s="83" t="n">
        <v>1043</v>
      </c>
      <c r="B58" s="80" t="inlineStr">
        <is>
          <t>ROBERT FERGUSON</t>
        </is>
      </c>
      <c r="C58" s="80" t="inlineStr">
        <is>
          <t>Activ</t>
        </is>
      </c>
      <c r="D58" s="80" t="inlineStr">
        <is>
          <t>JEREMY CASTILLO</t>
        </is>
      </c>
      <c r="E58" s="80" t="inlineStr">
        <is>
          <t>ASHLEY FRENCH</t>
        </is>
      </c>
      <c r="F58" s="80" t="inlineStr">
        <is>
          <t>PHILLIP TRAVIS</t>
        </is>
      </c>
      <c r="G58" s="80" t="inlineStr">
        <is>
          <t>PHILLIP TRAVIS</t>
        </is>
      </c>
      <c r="H58" s="80" t="inlineStr">
        <is>
          <t>156-1</t>
        </is>
      </c>
      <c r="I58" s="111">
        <f>COUNTIF(Tower_3!G:G,'All Associates'!A58)+COUNTIF(Tower_4!G:G,'All Associates'!A58)+COUNTIF(Tower_5!G:G,'All Associates'!A58)+COUNTIF(Tower_6!G:G,'All Associates'!A58)+COUNTIF(Riviera_3!G:G,'All Associates'!A58)+COUNTIF(Riviera_4!G:G,'All Associates'!A58)+COUNTIF(Riviera_5!G:G,'All Associates'!A58)</f>
        <v/>
      </c>
      <c r="J58" s="112">
        <f>IF(I58=0,"Not Allocated",IF(I58=1,"Allocated","Duplicate"))</f>
        <v/>
      </c>
    </row>
    <row r="59" hidden="1">
      <c r="A59" s="83" t="n">
        <v>1089</v>
      </c>
      <c r="B59" s="80" t="inlineStr">
        <is>
          <t>BILL GARCIA</t>
        </is>
      </c>
      <c r="C59" s="80" t="inlineStr">
        <is>
          <t>Activ</t>
        </is>
      </c>
      <c r="D59" s="80" t="inlineStr">
        <is>
          <t>DEBRA OWEN</t>
        </is>
      </c>
      <c r="E59" s="80" t="inlineStr">
        <is>
          <t>DR. DIANA CARROLL</t>
        </is>
      </c>
      <c r="F59" s="80" t="inlineStr">
        <is>
          <t>HEATHER SOLIS</t>
        </is>
      </c>
      <c r="G59" s="80" t="inlineStr">
        <is>
          <t>HEATHER SOLIS</t>
        </is>
      </c>
      <c r="H59" s="80" t="inlineStr">
        <is>
          <t>138-1</t>
        </is>
      </c>
      <c r="I59" s="111">
        <f>COUNTIF(Tower_3!G:G,'All Associates'!A59)+COUNTIF(Tower_4!G:G,'All Associates'!A59)+COUNTIF(Tower_5!G:G,'All Associates'!A59)+COUNTIF(Tower_6!G:G,'All Associates'!A59)+COUNTIF(Riviera_3!G:G,'All Associates'!A59)+COUNTIF(Riviera_4!G:G,'All Associates'!A59)+COUNTIF(Riviera_5!G:G,'All Associates'!A59)</f>
        <v/>
      </c>
      <c r="J59" s="112">
        <f>IF(I59=0,"Not Allocated",IF(I59=1,"Allocated","Duplicate"))</f>
        <v/>
      </c>
    </row>
    <row r="60" hidden="1">
      <c r="A60" s="83" t="n">
        <v>894</v>
      </c>
      <c r="B60" s="80" t="inlineStr">
        <is>
          <t>ANTHONY BARR</t>
        </is>
      </c>
      <c r="C60" s="80" t="inlineStr">
        <is>
          <t>Activ</t>
        </is>
      </c>
      <c r="D60" s="80" t="inlineStr">
        <is>
          <t>OSCAR TYLER</t>
        </is>
      </c>
      <c r="E60" s="80" t="inlineStr">
        <is>
          <t>KENNETH CONRAD</t>
        </is>
      </c>
      <c r="F60" s="80" t="inlineStr">
        <is>
          <t>KIMBERLY CLARK</t>
        </is>
      </c>
      <c r="G60" s="80" t="inlineStr">
        <is>
          <t>KENNETH CONRAD</t>
        </is>
      </c>
      <c r="H60" s="80" t="inlineStr">
        <is>
          <t>127-1</t>
        </is>
      </c>
      <c r="I60" s="111">
        <f>COUNTIF(Tower_3!G:G,'All Associates'!A60)+COUNTIF(Tower_4!G:G,'All Associates'!A60)+COUNTIF(Tower_5!G:G,'All Associates'!A60)+COUNTIF(Tower_6!G:G,'All Associates'!A60)+COUNTIF(Riviera_3!G:G,'All Associates'!A60)+COUNTIF(Riviera_4!G:G,'All Associates'!A60)+COUNTIF(Riviera_5!G:G,'All Associates'!A60)</f>
        <v/>
      </c>
      <c r="J60" s="112">
        <f>IF(I60=0,"Not Allocated",IF(I60=1,"Allocated","Duplicate"))</f>
        <v/>
      </c>
    </row>
    <row r="61" hidden="1">
      <c r="A61" s="83" t="n">
        <v>993</v>
      </c>
      <c r="B61" s="80" t="inlineStr">
        <is>
          <t>ROBERT KHAN</t>
        </is>
      </c>
      <c r="C61" s="80" t="inlineStr">
        <is>
          <t>Activ</t>
        </is>
      </c>
      <c r="D61" s="80" t="inlineStr">
        <is>
          <t>CHRISTOPHER LONG</t>
        </is>
      </c>
      <c r="E61" s="80" t="inlineStr">
        <is>
          <t>ASHLEY FRENCH</t>
        </is>
      </c>
      <c r="F61" s="80" t="inlineStr">
        <is>
          <t>PHILLIP TRAVIS</t>
        </is>
      </c>
      <c r="G61" s="80" t="inlineStr">
        <is>
          <t>PHILLIP TRAVIS</t>
        </is>
      </c>
      <c r="H61" s="80" t="inlineStr">
        <is>
          <t>156-1</t>
        </is>
      </c>
      <c r="I61" s="111">
        <f>COUNTIF(Tower_3!G:G,'All Associates'!A61)+COUNTIF(Tower_4!G:G,'All Associates'!A61)+COUNTIF(Tower_5!G:G,'All Associates'!A61)+COUNTIF(Tower_6!G:G,'All Associates'!A61)+COUNTIF(Riviera_3!G:G,'All Associates'!A61)+COUNTIF(Riviera_4!G:G,'All Associates'!A61)+COUNTIF(Riviera_5!G:G,'All Associates'!A61)</f>
        <v/>
      </c>
      <c r="J61" s="112">
        <f>IF(I61=0,"Not Allocated",IF(I61=1,"Allocated","Duplicate"))</f>
        <v/>
      </c>
    </row>
    <row r="62" hidden="1">
      <c r="A62" s="83" t="n">
        <v>1127</v>
      </c>
      <c r="B62" s="80" t="inlineStr">
        <is>
          <t>NINA STEWART</t>
        </is>
      </c>
      <c r="C62" s="80" t="inlineStr">
        <is>
          <t>Activ</t>
        </is>
      </c>
      <c r="D62" s="80" t="inlineStr">
        <is>
          <t>TINA WONG</t>
        </is>
      </c>
      <c r="E62" s="80" t="inlineStr">
        <is>
          <t>DR. DIANA CARROLL</t>
        </is>
      </c>
      <c r="F62" s="80" t="inlineStr">
        <is>
          <t>HEATHER SOLIS</t>
        </is>
      </c>
      <c r="G62" s="80" t="inlineStr">
        <is>
          <t>HEATHER SOLIS</t>
        </is>
      </c>
      <c r="H62" s="80" t="inlineStr">
        <is>
          <t>138-1</t>
        </is>
      </c>
      <c r="I62" s="111">
        <f>COUNTIF(Tower_3!G:G,'All Associates'!A62)+COUNTIF(Tower_4!G:G,'All Associates'!A62)+COUNTIF(Tower_5!G:G,'All Associates'!A62)+COUNTIF(Tower_6!G:G,'All Associates'!A62)+COUNTIF(Riviera_3!G:G,'All Associates'!A62)+COUNTIF(Riviera_4!G:G,'All Associates'!A62)+COUNTIF(Riviera_5!G:G,'All Associates'!A62)</f>
        <v/>
      </c>
      <c r="J62" s="112">
        <f>IF(I62=0,"Not Allocated",IF(I62=1,"Allocated","Duplicate"))</f>
        <v/>
      </c>
    </row>
    <row r="63" hidden="1">
      <c r="A63" s="83" t="n">
        <v>1004</v>
      </c>
      <c r="B63" s="80" t="inlineStr">
        <is>
          <t>CYNTHIA PARRISH</t>
        </is>
      </c>
      <c r="C63" s="80" t="inlineStr">
        <is>
          <t>Activ</t>
        </is>
      </c>
      <c r="D63" s="80" t="inlineStr">
        <is>
          <t>MICHAEL ROSALES</t>
        </is>
      </c>
      <c r="E63" s="80" t="inlineStr">
        <is>
          <t>BETH TUCKER</t>
        </is>
      </c>
      <c r="F63" s="80" t="inlineStr">
        <is>
          <t>KIMBERLY CLARK</t>
        </is>
      </c>
      <c r="G63" s="80" t="inlineStr">
        <is>
          <t>KIMBERLY CLARK</t>
        </is>
      </c>
      <c r="H63" s="80" t="inlineStr">
        <is>
          <t>156-2</t>
        </is>
      </c>
      <c r="I63" s="111">
        <f>COUNTIF(Tower_3!G:G,'All Associates'!A63)+COUNTIF(Tower_4!G:G,'All Associates'!A63)+COUNTIF(Tower_5!G:G,'All Associates'!A63)+COUNTIF(Tower_6!G:G,'All Associates'!A63)+COUNTIF(Riviera_3!G:G,'All Associates'!A63)+COUNTIF(Riviera_4!G:G,'All Associates'!A63)+COUNTIF(Riviera_5!G:G,'All Associates'!A63)</f>
        <v/>
      </c>
      <c r="J63" s="112">
        <f>IF(I63=0,"Not Allocated",IF(I63=1,"Allocated","Duplicate"))</f>
        <v/>
      </c>
    </row>
    <row r="64">
      <c r="A64" s="90" t="n">
        <v>798</v>
      </c>
      <c r="B64" s="91" t="inlineStr">
        <is>
          <t>LAURA FISHER</t>
        </is>
      </c>
      <c r="C64" s="91" t="inlineStr">
        <is>
          <t>Suspendat</t>
        </is>
      </c>
      <c r="D64" s="91" t="inlineStr">
        <is>
          <t>NATHAN MURRAY</t>
        </is>
      </c>
      <c r="E64" s="91" t="inlineStr">
        <is>
          <t>CHARLES POWELL</t>
        </is>
      </c>
      <c r="F64" s="91" t="inlineStr">
        <is>
          <t>KIMBERLY CLARK</t>
        </is>
      </c>
      <c r="G64" s="91" t="inlineStr">
        <is>
          <t>CHARLES POWELL</t>
        </is>
      </c>
      <c r="H64" s="91" t="inlineStr">
        <is>
          <t>138-3</t>
        </is>
      </c>
      <c r="I64" s="111">
        <f>COUNTIF(Tower_3!G:G,'All Associates'!A64)+COUNTIF(Tower_4!G:G,'All Associates'!A64)+COUNTIF(Tower_5!G:G,'All Associates'!A64)+COUNTIF(Tower_6!G:G,'All Associates'!A64)+COUNTIF(Riviera_3!G:G,'All Associates'!A64)+COUNTIF(Riviera_4!G:G,'All Associates'!A64)+COUNTIF(Riviera_5!G:G,'All Associates'!A64)</f>
        <v/>
      </c>
      <c r="J64" s="112">
        <f>IF(I64=0,"Not Allocated",IF(I64=1,"Allocated","Duplicate"))</f>
        <v/>
      </c>
    </row>
    <row r="65" hidden="1">
      <c r="A65" s="83" t="n">
        <v>1221</v>
      </c>
      <c r="B65" s="80" t="inlineStr">
        <is>
          <t>CHAD MEDINA</t>
        </is>
      </c>
      <c r="C65" s="80" t="inlineStr">
        <is>
          <t>Activ</t>
        </is>
      </c>
      <c r="D65" s="80" t="inlineStr">
        <is>
          <t>CHRISTINE WALTON DDS</t>
        </is>
      </c>
      <c r="E65" s="80" t="inlineStr">
        <is>
          <t>ADAM SMITH</t>
        </is>
      </c>
      <c r="F65" s="80" t="inlineStr">
        <is>
          <t>PHILLIP TRAVIS</t>
        </is>
      </c>
      <c r="G65" s="80" t="inlineStr">
        <is>
          <t>PHILLIP TRAVIS</t>
        </is>
      </c>
      <c r="H65" s="80" t="inlineStr">
        <is>
          <t>156-1</t>
        </is>
      </c>
      <c r="I65" s="111">
        <f>COUNTIF(Tower_3!G:G,'All Associates'!A65)+COUNTIF(Tower_4!G:G,'All Associates'!A65)+COUNTIF(Tower_5!G:G,'All Associates'!A65)+COUNTIF(Tower_6!G:G,'All Associates'!A65)+COUNTIF(Riviera_3!G:G,'All Associates'!A65)+COUNTIF(Riviera_4!G:G,'All Associates'!A65)+COUNTIF(Riviera_5!G:G,'All Associates'!A65)</f>
        <v/>
      </c>
      <c r="J65" s="112">
        <f>IF(I65=0,"Not Allocated",IF(I65=1,"Allocated","Duplicate"))</f>
        <v/>
      </c>
    </row>
    <row r="66" hidden="1">
      <c r="A66" s="83" t="n">
        <v>622</v>
      </c>
      <c r="B66" s="80" t="inlineStr">
        <is>
          <t>ALICIA KOCH</t>
        </is>
      </c>
      <c r="C66" s="80" t="inlineStr">
        <is>
          <t>Activ</t>
        </is>
      </c>
      <c r="D66" s="80" t="inlineStr">
        <is>
          <t>NATHAN MURRAY</t>
        </is>
      </c>
      <c r="E66" s="80" t="inlineStr">
        <is>
          <t>CHARLES POWELL</t>
        </is>
      </c>
      <c r="F66" s="80" t="inlineStr">
        <is>
          <t>KIMBERLY CLARK</t>
        </is>
      </c>
      <c r="G66" s="80" t="inlineStr">
        <is>
          <t>CHARLES POWELL</t>
        </is>
      </c>
      <c r="H66" s="80" t="inlineStr">
        <is>
          <t>138-3</t>
        </is>
      </c>
      <c r="I66" s="111">
        <f>COUNTIF(Tower_3!G:G,'All Associates'!A66)+COUNTIF(Tower_4!G:G,'All Associates'!A66)+COUNTIF(Tower_5!G:G,'All Associates'!A66)+COUNTIF(Tower_6!G:G,'All Associates'!A66)+COUNTIF(Riviera_3!G:G,'All Associates'!A66)+COUNTIF(Riviera_4!G:G,'All Associates'!A66)+COUNTIF(Riviera_5!G:G,'All Associates'!A66)</f>
        <v/>
      </c>
      <c r="J66" s="112">
        <f>IF(I66=0,"Not Allocated",IF(I66=1,"Allocated","Duplicate"))</f>
        <v/>
      </c>
    </row>
    <row r="67" hidden="1">
      <c r="A67" s="83" t="n">
        <v>755</v>
      </c>
      <c r="B67" s="80" t="inlineStr">
        <is>
          <t>CARRIE PAYNE</t>
        </is>
      </c>
      <c r="C67" s="80" t="inlineStr">
        <is>
          <t>Activ</t>
        </is>
      </c>
      <c r="D67" s="80" t="inlineStr">
        <is>
          <t>LYDIA JACKSON</t>
        </is>
      </c>
      <c r="E67" s="80" t="inlineStr">
        <is>
          <t>HEATHER SOLIS</t>
        </is>
      </c>
      <c r="F67" s="80" t="inlineStr">
        <is>
          <t>KIMBERLY CLARK</t>
        </is>
      </c>
      <c r="G67" s="80" t="inlineStr">
        <is>
          <t>HEATHER SOLIS</t>
        </is>
      </c>
      <c r="H67" s="80" t="inlineStr">
        <is>
          <t>138-1</t>
        </is>
      </c>
      <c r="I67" s="111">
        <f>COUNTIF(Tower_3!G:G,'All Associates'!A67)+COUNTIF(Tower_4!G:G,'All Associates'!A67)+COUNTIF(Tower_5!G:G,'All Associates'!A67)+COUNTIF(Tower_6!G:G,'All Associates'!A67)+COUNTIF(Riviera_3!G:G,'All Associates'!A67)+COUNTIF(Riviera_4!G:G,'All Associates'!A67)+COUNTIF(Riviera_5!G:G,'All Associates'!A67)</f>
        <v/>
      </c>
      <c r="J67" s="112">
        <f>IF(I67=0,"Not Allocated",IF(I67=1,"Allocated","Duplicate"))</f>
        <v/>
      </c>
    </row>
    <row r="68" hidden="1">
      <c r="A68" s="83" t="n">
        <v>717</v>
      </c>
      <c r="B68" s="80" t="inlineStr">
        <is>
          <t>DANIELLE WALKER</t>
        </is>
      </c>
      <c r="C68" s="80" t="inlineStr">
        <is>
          <t>Activ</t>
        </is>
      </c>
      <c r="D68" s="80" t="inlineStr">
        <is>
          <t>DANIEL ALVAREZ</t>
        </is>
      </c>
      <c r="E68" s="80" t="inlineStr">
        <is>
          <t>ALEXANDER BAUTISTA</t>
        </is>
      </c>
      <c r="F68" s="80" t="inlineStr">
        <is>
          <t>HEATHER SOLIS</t>
        </is>
      </c>
      <c r="G68" s="80" t="inlineStr">
        <is>
          <t>HEATHER SOLIS</t>
        </is>
      </c>
      <c r="H68" s="80" t="inlineStr">
        <is>
          <t>138-1</t>
        </is>
      </c>
      <c r="I68" s="111">
        <f>COUNTIF(Tower_3!G:G,'All Associates'!A68)+COUNTIF(Tower_4!G:G,'All Associates'!A68)+COUNTIF(Tower_5!G:G,'All Associates'!A68)+COUNTIF(Tower_6!G:G,'All Associates'!A68)+COUNTIF(Riviera_3!G:G,'All Associates'!A68)+COUNTIF(Riviera_4!G:G,'All Associates'!A68)+COUNTIF(Riviera_5!G:G,'All Associates'!A68)</f>
        <v/>
      </c>
      <c r="J68" s="112">
        <f>IF(I68=0,"Not Allocated",IF(I68=1,"Allocated","Duplicate"))</f>
        <v/>
      </c>
    </row>
    <row r="69" hidden="1">
      <c r="A69" s="83" t="n">
        <v>1040</v>
      </c>
      <c r="B69" s="80" t="inlineStr">
        <is>
          <t>WILLIAM MITCHELL</t>
        </is>
      </c>
      <c r="C69" s="80" t="inlineStr">
        <is>
          <t>Activ</t>
        </is>
      </c>
      <c r="D69" s="80" t="inlineStr">
        <is>
          <t>CRYSTAL HOLLAND</t>
        </is>
      </c>
      <c r="E69" s="80" t="inlineStr">
        <is>
          <t>ALEXANDER MILLER</t>
        </is>
      </c>
      <c r="F69" s="80" t="inlineStr">
        <is>
          <t>KIMBERLY CLARK</t>
        </is>
      </c>
      <c r="G69" s="80" t="inlineStr">
        <is>
          <t>ALEXANDER MILLER</t>
        </is>
      </c>
      <c r="H69" s="80" t="inlineStr">
        <is>
          <t>135-1</t>
        </is>
      </c>
      <c r="I69" s="111">
        <f>COUNTIF(Tower_3!G:G,'All Associates'!A69)+COUNTIF(Tower_4!G:G,'All Associates'!A69)+COUNTIF(Tower_5!G:G,'All Associates'!A69)+COUNTIF(Tower_6!G:G,'All Associates'!A69)+COUNTIF(Riviera_3!G:G,'All Associates'!A69)+COUNTIF(Riviera_4!G:G,'All Associates'!A69)+COUNTIF(Riviera_5!G:G,'All Associates'!A69)</f>
        <v/>
      </c>
      <c r="J69" s="112">
        <f>IF(I69=0,"Not Allocated",IF(I69=1,"Allocated","Duplicate"))</f>
        <v/>
      </c>
    </row>
    <row r="70" hidden="1">
      <c r="A70" s="83" t="n">
        <v>1027</v>
      </c>
      <c r="B70" s="80" t="inlineStr">
        <is>
          <t>DANIEL ELLISON</t>
        </is>
      </c>
      <c r="C70" s="80" t="inlineStr">
        <is>
          <t>Activ</t>
        </is>
      </c>
      <c r="D70" s="80" t="inlineStr">
        <is>
          <t>KATHERINE DELGADO</t>
        </is>
      </c>
      <c r="E70" s="80" t="inlineStr">
        <is>
          <t>LOUIS PETERSEN</t>
        </is>
      </c>
      <c r="F70" s="80" t="inlineStr">
        <is>
          <t>KENNETH CONRAD</t>
        </is>
      </c>
      <c r="G70" s="80" t="inlineStr">
        <is>
          <t>KENNETH CONRAD</t>
        </is>
      </c>
      <c r="H70" s="80" t="inlineStr">
        <is>
          <t>127-1</t>
        </is>
      </c>
      <c r="I70" s="111">
        <f>COUNTIF(Tower_3!G:G,'All Associates'!A70)+COUNTIF(Tower_4!G:G,'All Associates'!A70)+COUNTIF(Tower_5!G:G,'All Associates'!A70)+COUNTIF(Tower_6!G:G,'All Associates'!A70)+COUNTIF(Riviera_3!G:G,'All Associates'!A70)+COUNTIF(Riviera_4!G:G,'All Associates'!A70)+COUNTIF(Riviera_5!G:G,'All Associates'!A70)</f>
        <v/>
      </c>
      <c r="J70" s="112">
        <f>IF(I70=0,"Not Allocated",IF(I70=1,"Allocated","Duplicate"))</f>
        <v/>
      </c>
    </row>
    <row r="71" hidden="1">
      <c r="A71" s="83" t="n">
        <v>481</v>
      </c>
      <c r="B71" s="80" t="inlineStr">
        <is>
          <t>WANDA BUCK</t>
        </is>
      </c>
      <c r="C71" s="80" t="inlineStr">
        <is>
          <t>Activ</t>
        </is>
      </c>
      <c r="D71" s="80" t="inlineStr">
        <is>
          <t>JULIE SANCHEZ</t>
        </is>
      </c>
      <c r="E71" s="80" t="inlineStr">
        <is>
          <t>LARRY KIM</t>
        </is>
      </c>
      <c r="F71" s="80" t="inlineStr">
        <is>
          <t>KENNETH CONRAD</t>
        </is>
      </c>
      <c r="G71" s="80" t="inlineStr">
        <is>
          <t>KENNETH CONRAD</t>
        </is>
      </c>
      <c r="H71" s="80" t="inlineStr">
        <is>
          <t>127-1</t>
        </is>
      </c>
      <c r="I71" s="111">
        <f>COUNTIF(Tower_3!G:G,'All Associates'!A71)+COUNTIF(Tower_4!G:G,'All Associates'!A71)+COUNTIF(Tower_5!G:G,'All Associates'!A71)+COUNTIF(Tower_6!G:G,'All Associates'!A71)+COUNTIF(Riviera_3!G:G,'All Associates'!A71)+COUNTIF(Riviera_4!G:G,'All Associates'!A71)+COUNTIF(Riviera_5!G:G,'All Associates'!A71)</f>
        <v/>
      </c>
      <c r="J71" s="112">
        <f>IF(I71=0,"Not Allocated",IF(I71=1,"Allocated","Duplicate"))</f>
        <v/>
      </c>
    </row>
    <row r="72" hidden="1">
      <c r="A72" s="83" t="n">
        <v>802</v>
      </c>
      <c r="B72" s="80" t="inlineStr">
        <is>
          <t>JULIA ROSE</t>
        </is>
      </c>
      <c r="C72" s="80" t="inlineStr">
        <is>
          <t>Activ</t>
        </is>
      </c>
      <c r="D72" s="80" t="inlineStr">
        <is>
          <t>MATTHEW BAKER</t>
        </is>
      </c>
      <c r="E72" s="80" t="inlineStr">
        <is>
          <t>MICHAEL ROSALES</t>
        </is>
      </c>
      <c r="F72" s="80" t="inlineStr">
        <is>
          <t>BETH TUCKER</t>
        </is>
      </c>
      <c r="G72" s="80" t="inlineStr">
        <is>
          <t>KIMBERLY CLARK</t>
        </is>
      </c>
      <c r="H72" s="80" t="inlineStr">
        <is>
          <t>156-2</t>
        </is>
      </c>
      <c r="I72" s="111">
        <f>COUNTIF(Tower_3!G:G,'All Associates'!A72)+COUNTIF(Tower_4!G:G,'All Associates'!A72)+COUNTIF(Tower_5!G:G,'All Associates'!A72)+COUNTIF(Tower_6!G:G,'All Associates'!A72)+COUNTIF(Riviera_3!G:G,'All Associates'!A72)+COUNTIF(Riviera_4!G:G,'All Associates'!A72)+COUNTIF(Riviera_5!G:G,'All Associates'!A72)</f>
        <v/>
      </c>
      <c r="J72" s="112">
        <f>IF(I72=0,"Not Allocated",IF(I72=1,"Allocated","Duplicate"))</f>
        <v/>
      </c>
    </row>
    <row r="73" hidden="1">
      <c r="A73" s="83" t="n">
        <v>1044</v>
      </c>
      <c r="B73" s="80" t="inlineStr">
        <is>
          <t>RACHAEL MARTINEZ</t>
        </is>
      </c>
      <c r="C73" s="80" t="inlineStr">
        <is>
          <t>Activ</t>
        </is>
      </c>
      <c r="D73" s="80" t="inlineStr">
        <is>
          <t>STEPHANIE PERKINS</t>
        </is>
      </c>
      <c r="E73" s="80" t="inlineStr">
        <is>
          <t>MR. MICHAEL KELLY</t>
        </is>
      </c>
      <c r="F73" s="80" t="inlineStr">
        <is>
          <t>HEATHER SOLIS</t>
        </is>
      </c>
      <c r="G73" s="80" t="inlineStr">
        <is>
          <t>HEATHER SOLIS</t>
        </is>
      </c>
      <c r="H73" s="80" t="inlineStr">
        <is>
          <t>138-2</t>
        </is>
      </c>
      <c r="I73" s="111">
        <f>COUNTIF(Tower_3!G:G,'All Associates'!A73)+COUNTIF(Tower_4!G:G,'All Associates'!A73)+COUNTIF(Tower_5!G:G,'All Associates'!A73)+COUNTIF(Tower_6!G:G,'All Associates'!A73)+COUNTIF(Riviera_3!G:G,'All Associates'!A73)+COUNTIF(Riviera_4!G:G,'All Associates'!A73)+COUNTIF(Riviera_5!G:G,'All Associates'!A73)</f>
        <v/>
      </c>
      <c r="J73" s="112">
        <f>IF(I73=0,"Not Allocated",IF(I73=1,"Allocated","Duplicate"))</f>
        <v/>
      </c>
    </row>
    <row r="74" hidden="1">
      <c r="A74" s="83" t="n">
        <v>731</v>
      </c>
      <c r="B74" s="80" t="inlineStr">
        <is>
          <t>EDWARD MORRIS</t>
        </is>
      </c>
      <c r="C74" s="80" t="inlineStr">
        <is>
          <t>Activ</t>
        </is>
      </c>
      <c r="D74" s="80" t="inlineStr">
        <is>
          <t>AMBER TURNER</t>
        </is>
      </c>
      <c r="E74" s="80" t="inlineStr">
        <is>
          <t>OSCAR TYLER</t>
        </is>
      </c>
      <c r="F74" s="80" t="inlineStr">
        <is>
          <t>KENNETH CONRAD</t>
        </is>
      </c>
      <c r="G74" s="80" t="inlineStr">
        <is>
          <t>KENNETH CONRAD</t>
        </is>
      </c>
      <c r="H74" s="80" t="inlineStr">
        <is>
          <t>127-1</t>
        </is>
      </c>
      <c r="I74" s="111">
        <f>COUNTIF(Tower_3!G:G,'All Associates'!A74)+COUNTIF(Tower_4!G:G,'All Associates'!A74)+COUNTIF(Tower_5!G:G,'All Associates'!A74)+COUNTIF(Tower_6!G:G,'All Associates'!A74)+COUNTIF(Riviera_3!G:G,'All Associates'!A74)+COUNTIF(Riviera_4!G:G,'All Associates'!A74)+COUNTIF(Riviera_5!G:G,'All Associates'!A74)</f>
        <v/>
      </c>
      <c r="J74" s="112">
        <f>IF(I74=0,"Not Allocated",IF(I74=1,"Allocated","Duplicate"))</f>
        <v/>
      </c>
    </row>
    <row r="75" hidden="1">
      <c r="A75" s="83" t="n">
        <v>89</v>
      </c>
      <c r="B75" s="80" t="inlineStr">
        <is>
          <t>BETH ROBBINS</t>
        </is>
      </c>
      <c r="C75" s="80" t="inlineStr">
        <is>
          <t>Activ</t>
        </is>
      </c>
      <c r="D75" s="80" t="inlineStr">
        <is>
          <t>RONALD LEWIS</t>
        </is>
      </c>
      <c r="E75" s="80" t="inlineStr">
        <is>
          <t>ADAM SMITH</t>
        </is>
      </c>
      <c r="F75" s="80" t="inlineStr">
        <is>
          <t>PHILLIP TRAVIS</t>
        </is>
      </c>
      <c r="G75" s="80" t="inlineStr">
        <is>
          <t>PHILLIP TRAVIS</t>
        </is>
      </c>
      <c r="H75" s="80" t="inlineStr">
        <is>
          <t>156-1</t>
        </is>
      </c>
      <c r="I75" s="111">
        <f>COUNTIF(Tower_3!G:G,'All Associates'!A75)+COUNTIF(Tower_4!G:G,'All Associates'!A75)+COUNTIF(Tower_5!G:G,'All Associates'!A75)+COUNTIF(Tower_6!G:G,'All Associates'!A75)+COUNTIF(Riviera_3!G:G,'All Associates'!A75)+COUNTIF(Riviera_4!G:G,'All Associates'!A75)+COUNTIF(Riviera_5!G:G,'All Associates'!A75)</f>
        <v/>
      </c>
      <c r="J75" s="112">
        <f>IF(I75=0,"Not Allocated",IF(I75=1,"Allocated","Duplicate"))</f>
        <v/>
      </c>
    </row>
    <row r="76" hidden="1">
      <c r="A76" s="83" t="n">
        <v>902</v>
      </c>
      <c r="B76" s="80" t="inlineStr">
        <is>
          <t>RAYMOND DICKSON</t>
        </is>
      </c>
      <c r="C76" s="80" t="inlineStr">
        <is>
          <t>Activ</t>
        </is>
      </c>
      <c r="D76" s="80" t="inlineStr">
        <is>
          <t>ERIC GREENE</t>
        </is>
      </c>
      <c r="E76" s="80" t="inlineStr">
        <is>
          <t>ADAM SMITH</t>
        </is>
      </c>
      <c r="F76" s="80" t="inlineStr">
        <is>
          <t>PHILLIP TRAVIS</t>
        </is>
      </c>
      <c r="G76" s="80" t="inlineStr">
        <is>
          <t>PHILLIP TRAVIS</t>
        </is>
      </c>
      <c r="H76" s="80" t="inlineStr">
        <is>
          <t>156-1</t>
        </is>
      </c>
      <c r="I76" s="111">
        <f>COUNTIF(Tower_3!G:G,'All Associates'!A76)+COUNTIF(Tower_4!G:G,'All Associates'!A76)+COUNTIF(Tower_5!G:G,'All Associates'!A76)+COUNTIF(Tower_6!G:G,'All Associates'!A76)+COUNTIF(Riviera_3!G:G,'All Associates'!A76)+COUNTIF(Riviera_4!G:G,'All Associates'!A76)+COUNTIF(Riviera_5!G:G,'All Associates'!A76)</f>
        <v/>
      </c>
      <c r="J76" s="112">
        <f>IF(I76=0,"Not Allocated",IF(I76=1,"Allocated","Duplicate"))</f>
        <v/>
      </c>
    </row>
    <row r="77" hidden="1">
      <c r="A77" s="83" t="n">
        <v>475</v>
      </c>
      <c r="B77" s="80" t="inlineStr">
        <is>
          <t>JAMES NORMAN</t>
        </is>
      </c>
      <c r="C77" s="80" t="inlineStr">
        <is>
          <t>Activ</t>
        </is>
      </c>
      <c r="D77" s="80" t="inlineStr">
        <is>
          <t>ADAM SMITH</t>
        </is>
      </c>
      <c r="E77" s="80" t="inlineStr">
        <is>
          <t>PHILLIP TRAVIS</t>
        </is>
      </c>
      <c r="F77" s="80" t="inlineStr">
        <is>
          <t>KIMBERLY CLARK</t>
        </is>
      </c>
      <c r="G77" s="80" t="inlineStr">
        <is>
          <t>PHILLIP TRAVIS</t>
        </is>
      </c>
      <c r="H77" s="80" t="inlineStr">
        <is>
          <t>156-1</t>
        </is>
      </c>
      <c r="I77" s="111">
        <f>COUNTIF(Tower_3!G:G,'All Associates'!A77)+COUNTIF(Tower_4!G:G,'All Associates'!A77)+COUNTIF(Tower_5!G:G,'All Associates'!A77)+COUNTIF(Tower_6!G:G,'All Associates'!A77)+COUNTIF(Riviera_3!G:G,'All Associates'!A77)+COUNTIF(Riviera_4!G:G,'All Associates'!A77)+COUNTIF(Riviera_5!G:G,'All Associates'!A77)</f>
        <v/>
      </c>
      <c r="J77" s="112">
        <f>IF(I77=0,"Not Allocated",IF(I77=1,"Allocated","Duplicate"))</f>
        <v/>
      </c>
    </row>
    <row r="78" hidden="1">
      <c r="A78" s="83" t="n">
        <v>309</v>
      </c>
      <c r="B78" s="80" t="inlineStr">
        <is>
          <t>EBONY HOFFMAN</t>
        </is>
      </c>
      <c r="C78" s="80" t="inlineStr">
        <is>
          <t>Activ</t>
        </is>
      </c>
      <c r="D78" s="80" t="inlineStr">
        <is>
          <t>ADAM SMITH</t>
        </is>
      </c>
      <c r="E78" s="80" t="inlineStr">
        <is>
          <t>PHILLIP TRAVIS</t>
        </is>
      </c>
      <c r="F78" s="80" t="inlineStr">
        <is>
          <t>KIMBERLY CLARK</t>
        </is>
      </c>
      <c r="G78" s="80" t="inlineStr">
        <is>
          <t>PHILLIP TRAVIS</t>
        </is>
      </c>
      <c r="H78" s="80" t="inlineStr">
        <is>
          <t>156-1</t>
        </is>
      </c>
      <c r="I78" s="111">
        <f>COUNTIF(Tower_3!G:G,'All Associates'!A78)+COUNTIF(Tower_4!G:G,'All Associates'!A78)+COUNTIF(Tower_5!G:G,'All Associates'!A78)+COUNTIF(Tower_6!G:G,'All Associates'!A78)+COUNTIF(Riviera_3!G:G,'All Associates'!A78)+COUNTIF(Riviera_4!G:G,'All Associates'!A78)+COUNTIF(Riviera_5!G:G,'All Associates'!A78)</f>
        <v/>
      </c>
      <c r="J78" s="112">
        <f>IF(I78=0,"Not Allocated",IF(I78=1,"Allocated","Duplicate"))</f>
        <v/>
      </c>
    </row>
    <row r="79" hidden="1">
      <c r="A79" s="83" t="n">
        <v>511</v>
      </c>
      <c r="B79" s="80" t="inlineStr">
        <is>
          <t>CAROLINE STEVENSON</t>
        </is>
      </c>
      <c r="C79" s="80" t="inlineStr">
        <is>
          <t>Activ</t>
        </is>
      </c>
      <c r="D79" s="80" t="inlineStr">
        <is>
          <t>CHAD PEREZ</t>
        </is>
      </c>
      <c r="E79" s="80" t="inlineStr">
        <is>
          <t>MARISSA CROSS</t>
        </is>
      </c>
      <c r="F79" s="80" t="inlineStr">
        <is>
          <t>KIMBERLY CLARK</t>
        </is>
      </c>
      <c r="G79" s="80" t="inlineStr">
        <is>
          <t>MARISSA CROSS</t>
        </is>
      </c>
      <c r="H79" s="80" t="inlineStr">
        <is>
          <t>220-2</t>
        </is>
      </c>
      <c r="I79" s="111">
        <f>COUNTIF(Tower_3!G:G,'All Associates'!A79)+COUNTIF(Tower_4!G:G,'All Associates'!A79)+COUNTIF(Tower_5!G:G,'All Associates'!A79)+COUNTIF(Tower_6!G:G,'All Associates'!A79)+COUNTIF(Riviera_3!G:G,'All Associates'!A79)+COUNTIF(Riviera_4!G:G,'All Associates'!A79)+COUNTIF(Riviera_5!G:G,'All Associates'!A79)</f>
        <v/>
      </c>
      <c r="J79" s="112">
        <f>IF(I79=0,"Not Allocated",IF(I79=1,"Allocated","Duplicate"))</f>
        <v/>
      </c>
    </row>
    <row r="80" hidden="1">
      <c r="A80" s="83" t="n">
        <v>1135</v>
      </c>
      <c r="B80" s="80" t="inlineStr">
        <is>
          <t>MR. RICHARD BROWN</t>
        </is>
      </c>
      <c r="C80" s="80" t="inlineStr">
        <is>
          <t>Activ</t>
        </is>
      </c>
      <c r="D80" s="80" t="inlineStr">
        <is>
          <t>DANIEL TAYLOR</t>
        </is>
      </c>
      <c r="E80" s="80" t="inlineStr">
        <is>
          <t>REBECCA VAUGHN</t>
        </is>
      </c>
      <c r="F80" s="80" t="inlineStr">
        <is>
          <t>MR. MICHAEL KELLY</t>
        </is>
      </c>
      <c r="G80" s="80" t="inlineStr">
        <is>
          <t>HEATHER SOLIS</t>
        </is>
      </c>
      <c r="H80" s="80" t="inlineStr">
        <is>
          <t>138-2</t>
        </is>
      </c>
      <c r="I80" s="111">
        <f>COUNTIF(Tower_3!G:G,'All Associates'!A80)+COUNTIF(Tower_4!G:G,'All Associates'!A80)+COUNTIF(Tower_5!G:G,'All Associates'!A80)+COUNTIF(Tower_6!G:G,'All Associates'!A80)+COUNTIF(Riviera_3!G:G,'All Associates'!A80)+COUNTIF(Riviera_4!G:G,'All Associates'!A80)+COUNTIF(Riviera_5!G:G,'All Associates'!A80)</f>
        <v/>
      </c>
      <c r="J80" s="112">
        <f>IF(I80=0,"Not Allocated",IF(I80=1,"Allocated","Duplicate"))</f>
        <v/>
      </c>
    </row>
    <row r="81" hidden="1">
      <c r="A81" s="83" t="n">
        <v>581</v>
      </c>
      <c r="B81" s="80" t="inlineStr">
        <is>
          <t>BRANDON WOODWARD</t>
        </is>
      </c>
      <c r="C81" s="80" t="inlineStr">
        <is>
          <t>Activ</t>
        </is>
      </c>
      <c r="D81" s="80" t="inlineStr">
        <is>
          <t>MELISSA GARZA</t>
        </is>
      </c>
      <c r="E81" s="80" t="inlineStr">
        <is>
          <t>ASHLEY FRENCH</t>
        </is>
      </c>
      <c r="F81" s="80" t="inlineStr">
        <is>
          <t>PHILLIP TRAVIS</t>
        </is>
      </c>
      <c r="G81" s="80" t="inlineStr">
        <is>
          <t>PHILLIP TRAVIS</t>
        </is>
      </c>
      <c r="H81" s="80" t="inlineStr">
        <is>
          <t>156-1</t>
        </is>
      </c>
      <c r="I81" s="111">
        <f>COUNTIF(Tower_3!G:G,'All Associates'!A81)+COUNTIF(Tower_4!G:G,'All Associates'!A81)+COUNTIF(Tower_5!G:G,'All Associates'!A81)+COUNTIF(Tower_6!G:G,'All Associates'!A81)+COUNTIF(Riviera_3!G:G,'All Associates'!A81)+COUNTIF(Riviera_4!G:G,'All Associates'!A81)+COUNTIF(Riviera_5!G:G,'All Associates'!A81)</f>
        <v/>
      </c>
      <c r="J81" s="112">
        <f>IF(I81=0,"Not Allocated",IF(I81=1,"Allocated","Duplicate"))</f>
        <v/>
      </c>
    </row>
    <row r="82" hidden="1">
      <c r="A82" s="83" t="n">
        <v>346</v>
      </c>
      <c r="B82" s="80" t="inlineStr">
        <is>
          <t>KENNETH FOSTER</t>
        </is>
      </c>
      <c r="C82" s="80" t="inlineStr">
        <is>
          <t>Activ</t>
        </is>
      </c>
      <c r="D82" s="80" t="inlineStr">
        <is>
          <t>NICOLAS GUTIERREZ</t>
        </is>
      </c>
      <c r="E82" s="80" t="inlineStr">
        <is>
          <t>JOHN SCOTT DDS</t>
        </is>
      </c>
      <c r="F82" s="80" t="inlineStr">
        <is>
          <t>ADAM SMITH</t>
        </is>
      </c>
      <c r="G82" s="80" t="inlineStr">
        <is>
          <t>PHILLIP TRAVIS</t>
        </is>
      </c>
      <c r="H82" s="80" t="inlineStr">
        <is>
          <t>156-1</t>
        </is>
      </c>
      <c r="I82" s="111">
        <f>COUNTIF(Tower_3!G:G,'All Associates'!A82)+COUNTIF(Tower_4!G:G,'All Associates'!A82)+COUNTIF(Tower_5!G:G,'All Associates'!A82)+COUNTIF(Tower_6!G:G,'All Associates'!A82)+COUNTIF(Riviera_3!G:G,'All Associates'!A82)+COUNTIF(Riviera_4!G:G,'All Associates'!A82)+COUNTIF(Riviera_5!G:G,'All Associates'!A82)</f>
        <v/>
      </c>
      <c r="J82" s="112">
        <f>IF(I82=0,"Not Allocated",IF(I82=1,"Allocated","Duplicate"))</f>
        <v/>
      </c>
    </row>
    <row r="83" hidden="1">
      <c r="A83" s="83" t="n">
        <v>762</v>
      </c>
      <c r="B83" s="80" t="inlineStr">
        <is>
          <t>VERONICA JOHNSON</t>
        </is>
      </c>
      <c r="C83" s="80" t="inlineStr">
        <is>
          <t>Activ</t>
        </is>
      </c>
      <c r="D83" s="80" t="inlineStr">
        <is>
          <t>DENNIS AGUIRRE</t>
        </is>
      </c>
      <c r="E83" s="80" t="inlineStr">
        <is>
          <t>ADAM SMITH</t>
        </is>
      </c>
      <c r="F83" s="80" t="inlineStr">
        <is>
          <t>PHILLIP TRAVIS</t>
        </is>
      </c>
      <c r="G83" s="80" t="inlineStr">
        <is>
          <t>PHILLIP TRAVIS</t>
        </is>
      </c>
      <c r="H83" s="80" t="inlineStr">
        <is>
          <t>156-1</t>
        </is>
      </c>
      <c r="I83" s="111">
        <f>COUNTIF(Tower_3!G:G,'All Associates'!A83)+COUNTIF(Tower_4!G:G,'All Associates'!A83)+COUNTIF(Tower_5!G:G,'All Associates'!A83)+COUNTIF(Tower_6!G:G,'All Associates'!A83)+COUNTIF(Riviera_3!G:G,'All Associates'!A83)+COUNTIF(Riviera_4!G:G,'All Associates'!A83)+COUNTIF(Riviera_5!G:G,'All Associates'!A83)</f>
        <v/>
      </c>
      <c r="J83" s="112">
        <f>IF(I83=0,"Not Allocated",IF(I83=1,"Allocated","Duplicate"))</f>
        <v/>
      </c>
    </row>
    <row r="84" hidden="1">
      <c r="A84" s="83" t="n">
        <v>850</v>
      </c>
      <c r="B84" s="80" t="inlineStr">
        <is>
          <t>LAURA BRENNAN</t>
        </is>
      </c>
      <c r="C84" s="80" t="inlineStr">
        <is>
          <t>Activ</t>
        </is>
      </c>
      <c r="D84" s="80" t="inlineStr">
        <is>
          <t>PHILLIP TRAVIS</t>
        </is>
      </c>
      <c r="E84" s="80" t="inlineStr">
        <is>
          <t>KIMBERLY CLARK</t>
        </is>
      </c>
      <c r="F84" s="80" t="inlineStr">
        <is>
          <t>KIMBERLY CLARK</t>
        </is>
      </c>
      <c r="G84" s="80" t="inlineStr">
        <is>
          <t>PHILLIP TRAVIS</t>
        </is>
      </c>
      <c r="H84" s="80" t="inlineStr">
        <is>
          <t>156-1</t>
        </is>
      </c>
      <c r="I84" s="111">
        <f>COUNTIF(Tower_3!G:G,'All Associates'!A84)+COUNTIF(Tower_4!G:G,'All Associates'!A84)+COUNTIF(Tower_5!G:G,'All Associates'!A84)+COUNTIF(Tower_6!G:G,'All Associates'!A84)+COUNTIF(Riviera_3!G:G,'All Associates'!A84)+COUNTIF(Riviera_4!G:G,'All Associates'!A84)+COUNTIF(Riviera_5!G:G,'All Associates'!A84)</f>
        <v/>
      </c>
      <c r="J84" s="112">
        <f>IF(I84=0,"Not Allocated",IF(I84=1,"Allocated","Duplicate"))</f>
        <v/>
      </c>
    </row>
    <row r="85" hidden="1">
      <c r="A85" s="83" t="n">
        <v>730</v>
      </c>
      <c r="B85" s="80" t="inlineStr">
        <is>
          <t>SHARI WHITE</t>
        </is>
      </c>
      <c r="C85" s="80" t="inlineStr">
        <is>
          <t>Activ</t>
        </is>
      </c>
      <c r="D85" s="80" t="inlineStr">
        <is>
          <t>JOHN SCOTT DDS</t>
        </is>
      </c>
      <c r="E85" s="80" t="inlineStr">
        <is>
          <t>ADAM SMITH</t>
        </is>
      </c>
      <c r="F85" s="80" t="inlineStr">
        <is>
          <t>PHILLIP TRAVIS</t>
        </is>
      </c>
      <c r="G85" s="80" t="inlineStr">
        <is>
          <t>PHILLIP TRAVIS</t>
        </is>
      </c>
      <c r="H85" s="80" t="inlineStr">
        <is>
          <t>156-1</t>
        </is>
      </c>
      <c r="I85" s="111">
        <f>COUNTIF(Tower_3!G:G,'All Associates'!A85)+COUNTIF(Tower_4!G:G,'All Associates'!A85)+COUNTIF(Tower_5!G:G,'All Associates'!A85)+COUNTIF(Tower_6!G:G,'All Associates'!A85)+COUNTIF(Riviera_3!G:G,'All Associates'!A85)+COUNTIF(Riviera_4!G:G,'All Associates'!A85)+COUNTIF(Riviera_5!G:G,'All Associates'!A85)</f>
        <v/>
      </c>
      <c r="J85" s="112">
        <f>IF(I85=0,"Not Allocated",IF(I85=1,"Allocated","Duplicate"))</f>
        <v/>
      </c>
    </row>
    <row r="86" hidden="1">
      <c r="A86" s="83" t="n">
        <v>235</v>
      </c>
      <c r="B86" s="80" t="inlineStr">
        <is>
          <t>BRANDON BRANCH</t>
        </is>
      </c>
      <c r="C86" s="80" t="inlineStr">
        <is>
          <t>Activ</t>
        </is>
      </c>
      <c r="D86" s="80" t="inlineStr">
        <is>
          <t>CHARLES POWELL</t>
        </is>
      </c>
      <c r="E86" s="80" t="inlineStr">
        <is>
          <t>KIMBERLY CLARK</t>
        </is>
      </c>
      <c r="F86" s="80" t="inlineStr">
        <is>
          <t>KIMBERLY CLARK</t>
        </is>
      </c>
      <c r="G86" s="80" t="inlineStr">
        <is>
          <t>CHARLES POWELL</t>
        </is>
      </c>
      <c r="H86" s="80" t="inlineStr">
        <is>
          <t>138-3</t>
        </is>
      </c>
      <c r="I86" s="111">
        <f>COUNTIF(Tower_3!G:G,'All Associates'!A86)+COUNTIF(Tower_4!G:G,'All Associates'!A86)+COUNTIF(Tower_5!G:G,'All Associates'!A86)+COUNTIF(Tower_6!G:G,'All Associates'!A86)+COUNTIF(Riviera_3!G:G,'All Associates'!A86)+COUNTIF(Riviera_4!G:G,'All Associates'!A86)+COUNTIF(Riviera_5!G:G,'All Associates'!A86)</f>
        <v/>
      </c>
      <c r="J86" s="112">
        <f>IF(I86=0,"Not Allocated",IF(I86=1,"Allocated","Duplicate"))</f>
        <v/>
      </c>
    </row>
    <row r="87" hidden="1">
      <c r="A87" s="83" t="n">
        <v>1090</v>
      </c>
      <c r="B87" s="80" t="inlineStr">
        <is>
          <t>LISA GALVAN</t>
        </is>
      </c>
      <c r="C87" s="80" t="inlineStr">
        <is>
          <t>Activ</t>
        </is>
      </c>
      <c r="D87" s="80" t="inlineStr">
        <is>
          <t>BETH TUCKER</t>
        </is>
      </c>
      <c r="E87" s="80" t="inlineStr">
        <is>
          <t>KIMBERLY CLARK</t>
        </is>
      </c>
      <c r="F87" s="80" t="inlineStr">
        <is>
          <t>KIMBERLY CLARK</t>
        </is>
      </c>
      <c r="G87" s="80" t="inlineStr">
        <is>
          <t>KIMBERLY CLARK</t>
        </is>
      </c>
      <c r="H87" s="80" t="inlineStr">
        <is>
          <t>156-2</t>
        </is>
      </c>
      <c r="I87" s="111">
        <f>COUNTIF(Tower_3!G:G,'All Associates'!A87)+COUNTIF(Tower_4!G:G,'All Associates'!A87)+COUNTIF(Tower_5!G:G,'All Associates'!A87)+COUNTIF(Tower_6!G:G,'All Associates'!A87)+COUNTIF(Riviera_3!G:G,'All Associates'!A87)+COUNTIF(Riviera_4!G:G,'All Associates'!A87)+COUNTIF(Riviera_5!G:G,'All Associates'!A87)</f>
        <v/>
      </c>
      <c r="J87" s="112">
        <f>IF(I87=0,"Not Allocated",IF(I87=1,"Allocated","Duplicate"))</f>
        <v/>
      </c>
    </row>
    <row r="88" hidden="1">
      <c r="A88" s="83" t="n">
        <v>1161</v>
      </c>
      <c r="B88" s="80" t="inlineStr">
        <is>
          <t>CRYSTAL MEDINA</t>
        </is>
      </c>
      <c r="C88" s="80" t="inlineStr">
        <is>
          <t>Activ</t>
        </is>
      </c>
      <c r="D88" s="80" t="inlineStr">
        <is>
          <t>MR. MICHAEL KELLY</t>
        </is>
      </c>
      <c r="E88" s="80" t="inlineStr">
        <is>
          <t>MR. MICHAEL KELLY</t>
        </is>
      </c>
      <c r="F88" s="80" t="inlineStr">
        <is>
          <t>HEATHER SOLIS</t>
        </is>
      </c>
      <c r="G88" s="80" t="inlineStr">
        <is>
          <t>HEATHER SOLIS</t>
        </is>
      </c>
      <c r="H88" s="80" t="inlineStr">
        <is>
          <t>138-2</t>
        </is>
      </c>
      <c r="I88" s="111">
        <f>COUNTIF(Tower_3!G:G,'All Associates'!A88)+COUNTIF(Tower_4!G:G,'All Associates'!A88)+COUNTIF(Tower_5!G:G,'All Associates'!A88)+COUNTIF(Tower_6!G:G,'All Associates'!A88)+COUNTIF(Riviera_3!G:G,'All Associates'!A88)+COUNTIF(Riviera_4!G:G,'All Associates'!A88)+COUNTIF(Riviera_5!G:G,'All Associates'!A88)</f>
        <v/>
      </c>
      <c r="J88" s="112">
        <f>IF(I88=0,"Not Allocated",IF(I88=1,"Allocated","Duplicate"))</f>
        <v/>
      </c>
    </row>
    <row r="89" hidden="1">
      <c r="A89" s="83" t="n">
        <v>555</v>
      </c>
      <c r="B89" s="80" t="inlineStr">
        <is>
          <t>SARA DURAN</t>
        </is>
      </c>
      <c r="C89" s="80" t="inlineStr">
        <is>
          <t>Activ</t>
        </is>
      </c>
      <c r="D89" s="80" t="inlineStr">
        <is>
          <t>AMY ACOSTA</t>
        </is>
      </c>
      <c r="E89" s="80" t="inlineStr">
        <is>
          <t>MARISSA CROSS</t>
        </is>
      </c>
      <c r="F89" s="80" t="inlineStr">
        <is>
          <t>KIMBERLY CLARK</t>
        </is>
      </c>
      <c r="G89" s="80" t="inlineStr">
        <is>
          <t>MARISSA CROSS</t>
        </is>
      </c>
      <c r="H89" s="80" t="inlineStr">
        <is>
          <t>220-2</t>
        </is>
      </c>
      <c r="I89" s="111">
        <f>COUNTIF(Tower_3!G:G,'All Associates'!A89)+COUNTIF(Tower_4!G:G,'All Associates'!A89)+COUNTIF(Tower_5!G:G,'All Associates'!A89)+COUNTIF(Tower_6!G:G,'All Associates'!A89)+COUNTIF(Riviera_3!G:G,'All Associates'!A89)+COUNTIF(Riviera_4!G:G,'All Associates'!A89)+COUNTIF(Riviera_5!G:G,'All Associates'!A89)</f>
        <v/>
      </c>
      <c r="J89" s="112">
        <f>IF(I89=0,"Not Allocated",IF(I89=1,"Allocated","Duplicate"))</f>
        <v/>
      </c>
    </row>
    <row r="90" hidden="1">
      <c r="A90" s="83" t="n">
        <v>358</v>
      </c>
      <c r="B90" s="80" t="inlineStr">
        <is>
          <t>DAWN TORRES</t>
        </is>
      </c>
      <c r="C90" s="80" t="inlineStr">
        <is>
          <t>Activ</t>
        </is>
      </c>
      <c r="D90" s="80" t="inlineStr">
        <is>
          <t>JULIE MARTIN MD</t>
        </is>
      </c>
      <c r="E90" s="80" t="inlineStr">
        <is>
          <t>KIMBERLY CLARK</t>
        </is>
      </c>
      <c r="F90" s="80" t="inlineStr">
        <is>
          <t>KIMBERLY CLARK</t>
        </is>
      </c>
      <c r="G90" s="80" t="inlineStr">
        <is>
          <t>KIMBERLY CLARK</t>
        </is>
      </c>
      <c r="H90" s="80" t="inlineStr">
        <is>
          <t>210-1</t>
        </is>
      </c>
      <c r="I90" s="111">
        <f>COUNTIF(Tower_3!G:G,'All Associates'!A90)+COUNTIF(Tower_4!G:G,'All Associates'!A90)+COUNTIF(Tower_5!G:G,'All Associates'!A90)+COUNTIF(Tower_6!G:G,'All Associates'!A90)+COUNTIF(Riviera_3!G:G,'All Associates'!A90)+COUNTIF(Riviera_4!G:G,'All Associates'!A90)+COUNTIF(Riviera_5!G:G,'All Associates'!A90)</f>
        <v/>
      </c>
      <c r="J90" s="112">
        <f>IF(I90=0,"Not Allocated",IF(I90=1,"Allocated","Duplicate"))</f>
        <v/>
      </c>
    </row>
    <row r="91" hidden="1">
      <c r="A91" s="83" t="n">
        <v>913</v>
      </c>
      <c r="B91" s="80" t="inlineStr">
        <is>
          <t>DONNA MULLINS</t>
        </is>
      </c>
      <c r="C91" s="80" t="inlineStr">
        <is>
          <t>Activ</t>
        </is>
      </c>
      <c r="D91" s="80" t="inlineStr">
        <is>
          <t>TIFFANY WARD</t>
        </is>
      </c>
      <c r="E91" s="80" t="inlineStr">
        <is>
          <t>CHELSEA CAMPBELL</t>
        </is>
      </c>
      <c r="F91" s="80" t="inlineStr">
        <is>
          <t>KENNETH CONRAD</t>
        </is>
      </c>
      <c r="G91" s="80" t="inlineStr">
        <is>
          <t>KENNETH CONRAD</t>
        </is>
      </c>
      <c r="H91" s="80" t="inlineStr">
        <is>
          <t>153-1</t>
        </is>
      </c>
      <c r="I91" s="111">
        <f>COUNTIF(Tower_3!G:G,'All Associates'!A91)+COUNTIF(Tower_4!G:G,'All Associates'!A91)+COUNTIF(Tower_5!G:G,'All Associates'!A91)+COUNTIF(Tower_6!G:G,'All Associates'!A91)+COUNTIF(Riviera_3!G:G,'All Associates'!A91)+COUNTIF(Riviera_4!G:G,'All Associates'!A91)+COUNTIF(Riviera_5!G:G,'All Associates'!A91)</f>
        <v/>
      </c>
      <c r="J91" s="112">
        <f>IF(I91=0,"Not Allocated",IF(I91=1,"Allocated","Duplicate"))</f>
        <v/>
      </c>
    </row>
    <row r="92" hidden="1">
      <c r="A92" s="83" t="n">
        <v>586</v>
      </c>
      <c r="B92" s="80" t="inlineStr">
        <is>
          <t>MR. CHRISTOPHER LAWSON</t>
        </is>
      </c>
      <c r="C92" s="80" t="inlineStr">
        <is>
          <t>Activ</t>
        </is>
      </c>
      <c r="D92" s="80" t="inlineStr">
        <is>
          <t>LINDA DONOVAN</t>
        </is>
      </c>
      <c r="E92" s="80" t="inlineStr">
        <is>
          <t>REBECCA VAUGHN</t>
        </is>
      </c>
      <c r="F92" s="80" t="inlineStr">
        <is>
          <t>MR. MICHAEL KELLY</t>
        </is>
      </c>
      <c r="G92" s="80" t="inlineStr">
        <is>
          <t>HEATHER SOLIS</t>
        </is>
      </c>
      <c r="H92" s="80" t="inlineStr">
        <is>
          <t>138-2</t>
        </is>
      </c>
      <c r="I92" s="111">
        <f>COUNTIF(Tower_3!G:G,'All Associates'!A92)+COUNTIF(Tower_4!G:G,'All Associates'!A92)+COUNTIF(Tower_5!G:G,'All Associates'!A92)+COUNTIF(Tower_6!G:G,'All Associates'!A92)+COUNTIF(Riviera_3!G:G,'All Associates'!A92)+COUNTIF(Riviera_4!G:G,'All Associates'!A92)+COUNTIF(Riviera_5!G:G,'All Associates'!A92)</f>
        <v/>
      </c>
      <c r="J92" s="112">
        <f>IF(I92=0,"Not Allocated",IF(I92=1,"Allocated","Duplicate"))</f>
        <v/>
      </c>
    </row>
    <row r="93" hidden="1">
      <c r="A93" s="83" t="n">
        <v>1028</v>
      </c>
      <c r="B93" s="80" t="inlineStr">
        <is>
          <t>KENNETH THOMPSON</t>
        </is>
      </c>
      <c r="C93" s="80" t="inlineStr">
        <is>
          <t>Activ</t>
        </is>
      </c>
      <c r="D93" s="80" t="inlineStr">
        <is>
          <t>TIMOTHY WELCH</t>
        </is>
      </c>
      <c r="E93" s="80" t="inlineStr">
        <is>
          <t>CHAD PEREZ</t>
        </is>
      </c>
      <c r="F93" s="80" t="inlineStr">
        <is>
          <t>MARISSA CROSS</t>
        </is>
      </c>
      <c r="G93" s="80" t="inlineStr">
        <is>
          <t>MARISSA CROSS</t>
        </is>
      </c>
      <c r="H93" s="80" t="inlineStr">
        <is>
          <t>220-2</t>
        </is>
      </c>
      <c r="I93" s="111">
        <f>COUNTIF(Tower_3!G:G,'All Associates'!A93)+COUNTIF(Tower_4!G:G,'All Associates'!A93)+COUNTIF(Tower_5!G:G,'All Associates'!A93)+COUNTIF(Tower_6!G:G,'All Associates'!A93)+COUNTIF(Riviera_3!G:G,'All Associates'!A93)+COUNTIF(Riviera_4!G:G,'All Associates'!A93)+COUNTIF(Riviera_5!G:G,'All Associates'!A93)</f>
        <v/>
      </c>
      <c r="J93" s="112">
        <f>IF(I93=0,"Not Allocated",IF(I93=1,"Allocated","Duplicate"))</f>
        <v/>
      </c>
    </row>
    <row r="94" hidden="1">
      <c r="A94" s="83" t="n">
        <v>292</v>
      </c>
      <c r="B94" s="80" t="inlineStr">
        <is>
          <t>JILLIAN GRIFFIN</t>
        </is>
      </c>
      <c r="C94" s="80" t="inlineStr">
        <is>
          <t>Activ</t>
        </is>
      </c>
      <c r="D94" s="80" t="inlineStr">
        <is>
          <t>KENNETH CONRAD</t>
        </is>
      </c>
      <c r="E94" s="80" t="inlineStr">
        <is>
          <t>KIMBERLY CLARK</t>
        </is>
      </c>
      <c r="F94" s="80" t="inlineStr">
        <is>
          <t>KIMBERLY CLARK</t>
        </is>
      </c>
      <c r="G94" s="80" t="inlineStr">
        <is>
          <t>KENNETH CONRAD</t>
        </is>
      </c>
      <c r="H94" s="80" t="inlineStr">
        <is>
          <t>127-1</t>
        </is>
      </c>
      <c r="I94" s="111">
        <f>COUNTIF(Tower_3!G:G,'All Associates'!A94)+COUNTIF(Tower_4!G:G,'All Associates'!A94)+COUNTIF(Tower_5!G:G,'All Associates'!A94)+COUNTIF(Tower_6!G:G,'All Associates'!A94)+COUNTIF(Riviera_3!G:G,'All Associates'!A94)+COUNTIF(Riviera_4!G:G,'All Associates'!A94)+COUNTIF(Riviera_5!G:G,'All Associates'!A94)</f>
        <v/>
      </c>
      <c r="J94" s="112">
        <f>IF(I94=0,"Not Allocated",IF(I94=1,"Allocated","Duplicate"))</f>
        <v/>
      </c>
    </row>
    <row r="95" hidden="1">
      <c r="A95" s="83" t="n">
        <v>1118</v>
      </c>
      <c r="B95" s="80" t="inlineStr">
        <is>
          <t>PATTY MASSEY</t>
        </is>
      </c>
      <c r="C95" s="80" t="inlineStr">
        <is>
          <t>Activ</t>
        </is>
      </c>
      <c r="D95" s="80" t="inlineStr">
        <is>
          <t>MR. MICHAEL KELLY</t>
        </is>
      </c>
      <c r="E95" s="80" t="inlineStr">
        <is>
          <t>HEATHER SOLIS</t>
        </is>
      </c>
      <c r="F95" s="80" t="inlineStr">
        <is>
          <t>KIMBERLY CLARK</t>
        </is>
      </c>
      <c r="G95" s="80" t="inlineStr">
        <is>
          <t>HEATHER SOLIS</t>
        </is>
      </c>
      <c r="H95" s="80" t="inlineStr">
        <is>
          <t>138-2</t>
        </is>
      </c>
      <c r="I95" s="111">
        <f>COUNTIF(Tower_3!G:G,'All Associates'!A95)+COUNTIF(Tower_4!G:G,'All Associates'!A95)+COUNTIF(Tower_5!G:G,'All Associates'!A95)+COUNTIF(Tower_6!G:G,'All Associates'!A95)+COUNTIF(Riviera_3!G:G,'All Associates'!A95)+COUNTIF(Riviera_4!G:G,'All Associates'!A95)+COUNTIF(Riviera_5!G:G,'All Associates'!A95)</f>
        <v/>
      </c>
      <c r="J95" s="112">
        <f>IF(I95=0,"Not Allocated",IF(I95=1,"Allocated","Duplicate"))</f>
        <v/>
      </c>
    </row>
    <row r="96" hidden="1">
      <c r="A96" s="83" t="n">
        <v>702</v>
      </c>
      <c r="B96" s="80" t="inlineStr">
        <is>
          <t>SALLY ROGERS</t>
        </is>
      </c>
      <c r="C96" s="80" t="inlineStr">
        <is>
          <t>Activ</t>
        </is>
      </c>
      <c r="D96" s="80" t="inlineStr">
        <is>
          <t>ASHLEY FRENCH</t>
        </is>
      </c>
      <c r="E96" s="80" t="inlineStr">
        <is>
          <t>PHILLIP TRAVIS</t>
        </is>
      </c>
      <c r="F96" s="80" t="inlineStr">
        <is>
          <t>KIMBERLY CLARK</t>
        </is>
      </c>
      <c r="G96" s="80" t="inlineStr">
        <is>
          <t>PHILLIP TRAVIS</t>
        </is>
      </c>
      <c r="H96" s="80" t="inlineStr">
        <is>
          <t>156-1</t>
        </is>
      </c>
      <c r="I96" s="111">
        <f>COUNTIF(Tower_3!G:G,'All Associates'!A96)+COUNTIF(Tower_4!G:G,'All Associates'!A96)+COUNTIF(Tower_5!G:G,'All Associates'!A96)+COUNTIF(Tower_6!G:G,'All Associates'!A96)+COUNTIF(Riviera_3!G:G,'All Associates'!A96)+COUNTIF(Riviera_4!G:G,'All Associates'!A96)+COUNTIF(Riviera_5!G:G,'All Associates'!A96)</f>
        <v/>
      </c>
      <c r="J96" s="112">
        <f>IF(I96=0,"Not Allocated",IF(I96=1,"Allocated","Duplicate"))</f>
        <v/>
      </c>
    </row>
    <row r="97" hidden="1">
      <c r="A97" s="83" t="n">
        <v>918</v>
      </c>
      <c r="B97" s="80" t="inlineStr">
        <is>
          <t>DAVID FRANKLIN</t>
        </is>
      </c>
      <c r="C97" s="80" t="inlineStr">
        <is>
          <t>Activ</t>
        </is>
      </c>
      <c r="D97" s="80" t="inlineStr">
        <is>
          <t>EDDIE DAY</t>
        </is>
      </c>
      <c r="E97" s="80" t="inlineStr">
        <is>
          <t>STEPHANIE WEAVER</t>
        </is>
      </c>
      <c r="F97" s="80" t="inlineStr">
        <is>
          <t>MARISSA CROSS</t>
        </is>
      </c>
      <c r="G97" s="80" t="inlineStr">
        <is>
          <t>MARISSA CROSS</t>
        </is>
      </c>
      <c r="H97" s="80" t="inlineStr">
        <is>
          <t>220-2</t>
        </is>
      </c>
      <c r="I97" s="111">
        <f>COUNTIF(Tower_3!G:G,'All Associates'!A97)+COUNTIF(Tower_4!G:G,'All Associates'!A97)+COUNTIF(Tower_5!G:G,'All Associates'!A97)+COUNTIF(Tower_6!G:G,'All Associates'!A97)+COUNTIF(Riviera_3!G:G,'All Associates'!A97)+COUNTIF(Riviera_4!G:G,'All Associates'!A97)+COUNTIF(Riviera_5!G:G,'All Associates'!A97)</f>
        <v/>
      </c>
      <c r="J97" s="112">
        <f>IF(I97=0,"Not Allocated",IF(I97=1,"Allocated","Duplicate"))</f>
        <v/>
      </c>
    </row>
    <row r="98" hidden="1">
      <c r="A98" s="83" t="n">
        <v>1232</v>
      </c>
      <c r="B98" s="80" t="inlineStr">
        <is>
          <t>MICHAEL HALL</t>
        </is>
      </c>
      <c r="C98" s="80" t="inlineStr">
        <is>
          <t>Activ</t>
        </is>
      </c>
      <c r="D98" s="80" t="inlineStr">
        <is>
          <t>KIMBERLY CLARK</t>
        </is>
      </c>
      <c r="E98" s="80" t="inlineStr">
        <is>
          <t>KIMBERLY CLARK</t>
        </is>
      </c>
      <c r="F98" s="80" t="inlineStr">
        <is>
          <t>KIMBERLY CLARK</t>
        </is>
      </c>
      <c r="G98" s="80" t="inlineStr">
        <is>
          <t>KIMBERLY CLARK</t>
        </is>
      </c>
      <c r="H98" s="80" t="inlineStr">
        <is>
          <t>200-1</t>
        </is>
      </c>
      <c r="I98" s="111">
        <f>COUNTIF(Tower_3!G:G,'All Associates'!A98)+COUNTIF(Tower_4!G:G,'All Associates'!A98)+COUNTIF(Tower_5!G:G,'All Associates'!A98)+COUNTIF(Tower_6!G:G,'All Associates'!A98)+COUNTIF(Riviera_3!G:G,'All Associates'!A98)+COUNTIF(Riviera_4!G:G,'All Associates'!A98)+COUNTIF(Riviera_5!G:G,'All Associates'!A98)</f>
        <v/>
      </c>
      <c r="J98" s="112">
        <f>IF(I98=0,"Not Allocated",IF(I98=1,"Allocated","Duplicate"))</f>
        <v/>
      </c>
    </row>
    <row r="99" hidden="1">
      <c r="A99" s="83" t="n">
        <v>448</v>
      </c>
      <c r="B99" s="80" t="inlineStr">
        <is>
          <t>ANGIE MILLS</t>
        </is>
      </c>
      <c r="C99" s="80" t="inlineStr">
        <is>
          <t>Activ</t>
        </is>
      </c>
      <c r="D99" s="80" t="inlineStr">
        <is>
          <t>NATHAN MURRAY</t>
        </is>
      </c>
      <c r="E99" s="80" t="inlineStr">
        <is>
          <t>CHARLES POWELL</t>
        </is>
      </c>
      <c r="F99" s="80" t="inlineStr">
        <is>
          <t>KIMBERLY CLARK</t>
        </is>
      </c>
      <c r="G99" s="80" t="inlineStr">
        <is>
          <t>CHARLES POWELL</t>
        </is>
      </c>
      <c r="H99" s="80" t="inlineStr">
        <is>
          <t>138-3</t>
        </is>
      </c>
      <c r="I99" s="111">
        <f>COUNTIF(Tower_3!G:G,'All Associates'!A99)+COUNTIF(Tower_4!G:G,'All Associates'!A99)+COUNTIF(Tower_5!G:G,'All Associates'!A99)+COUNTIF(Tower_6!G:G,'All Associates'!A99)+COUNTIF(Riviera_3!G:G,'All Associates'!A99)+COUNTIF(Riviera_4!G:G,'All Associates'!A99)+COUNTIF(Riviera_5!G:G,'All Associates'!A99)</f>
        <v/>
      </c>
      <c r="J99" s="112">
        <f>IF(I99=0,"Not Allocated",IF(I99=1,"Allocated","Duplicate"))</f>
        <v/>
      </c>
    </row>
    <row r="100" hidden="1">
      <c r="A100" s="83" t="n">
        <v>938</v>
      </c>
      <c r="B100" s="80" t="inlineStr">
        <is>
          <t>CASEY POWELL</t>
        </is>
      </c>
      <c r="C100" s="80" t="inlineStr">
        <is>
          <t>Activ</t>
        </is>
      </c>
      <c r="D100" s="80" t="inlineStr">
        <is>
          <t>CHRISTINE WALTON DDS</t>
        </is>
      </c>
      <c r="E100" s="80" t="inlineStr">
        <is>
          <t>ADAM SMITH</t>
        </is>
      </c>
      <c r="F100" s="80" t="inlineStr">
        <is>
          <t>PHILLIP TRAVIS</t>
        </is>
      </c>
      <c r="G100" s="80" t="inlineStr">
        <is>
          <t>PHILLIP TRAVIS</t>
        </is>
      </c>
      <c r="H100" s="80" t="inlineStr">
        <is>
          <t>156-1</t>
        </is>
      </c>
      <c r="I100" s="111">
        <f>COUNTIF(Tower_3!G:G,'All Associates'!A100)+COUNTIF(Tower_4!G:G,'All Associates'!A100)+COUNTIF(Tower_5!G:G,'All Associates'!A100)+COUNTIF(Tower_6!G:G,'All Associates'!A100)+COUNTIF(Riviera_3!G:G,'All Associates'!A100)+COUNTIF(Riviera_4!G:G,'All Associates'!A100)+COUNTIF(Riviera_5!G:G,'All Associates'!A100)</f>
        <v/>
      </c>
      <c r="J100" s="112">
        <f>IF(I100=0,"Not Allocated",IF(I100=1,"Allocated","Duplicate"))</f>
        <v/>
      </c>
    </row>
    <row r="101" hidden="1">
      <c r="A101" s="83" t="n">
        <v>924</v>
      </c>
      <c r="B101" s="80" t="inlineStr">
        <is>
          <t>SHANNON WRIGHT</t>
        </is>
      </c>
      <c r="C101" s="80" t="inlineStr">
        <is>
          <t>Activ</t>
        </is>
      </c>
      <c r="D101" s="80" t="inlineStr">
        <is>
          <t>SUSAN RAY</t>
        </is>
      </c>
      <c r="E101" s="80" t="inlineStr">
        <is>
          <t>ALEXANDER MILLER</t>
        </is>
      </c>
      <c r="F101" s="80" t="inlineStr">
        <is>
          <t>KIMBERLY CLARK</t>
        </is>
      </c>
      <c r="G101" s="80" t="inlineStr">
        <is>
          <t>ALEXANDER MILLER</t>
        </is>
      </c>
      <c r="H101" s="80" t="inlineStr">
        <is>
          <t>196-1</t>
        </is>
      </c>
      <c r="I101" s="111">
        <f>COUNTIF(Tower_3!G:G,'All Associates'!A101)+COUNTIF(Tower_4!G:G,'All Associates'!A101)+COUNTIF(Tower_5!G:G,'All Associates'!A101)+COUNTIF(Tower_6!G:G,'All Associates'!A101)+COUNTIF(Riviera_3!G:G,'All Associates'!A101)+COUNTIF(Riviera_4!G:G,'All Associates'!A101)+COUNTIF(Riviera_5!G:G,'All Associates'!A101)</f>
        <v/>
      </c>
      <c r="J101" s="112">
        <f>IF(I101=0,"Not Allocated",IF(I101=1,"Allocated","Duplicate"))</f>
        <v/>
      </c>
    </row>
    <row r="102" hidden="1">
      <c r="A102" s="83" t="n">
        <v>589</v>
      </c>
      <c r="B102" s="80" t="inlineStr">
        <is>
          <t>ADAM JOHNSON</t>
        </is>
      </c>
      <c r="C102" s="80" t="inlineStr">
        <is>
          <t>Activ</t>
        </is>
      </c>
      <c r="D102" s="80" t="inlineStr">
        <is>
          <t>JENNY HOWARD</t>
        </is>
      </c>
      <c r="E102" s="80" t="inlineStr">
        <is>
          <t>CHARLES POWELL</t>
        </is>
      </c>
      <c r="F102" s="80" t="inlineStr">
        <is>
          <t>KIMBERLY CLARK</t>
        </is>
      </c>
      <c r="G102" s="80" t="inlineStr">
        <is>
          <t>CHARLES POWELL</t>
        </is>
      </c>
      <c r="H102" s="80" t="inlineStr">
        <is>
          <t>138-3</t>
        </is>
      </c>
      <c r="I102" s="111">
        <f>COUNTIF(Tower_3!G:G,'All Associates'!A102)+COUNTIF(Tower_4!G:G,'All Associates'!A102)+COUNTIF(Tower_5!G:G,'All Associates'!A102)+COUNTIF(Tower_6!G:G,'All Associates'!A102)+COUNTIF(Riviera_3!G:G,'All Associates'!A102)+COUNTIF(Riviera_4!G:G,'All Associates'!A102)+COUNTIF(Riviera_5!G:G,'All Associates'!A102)</f>
        <v/>
      </c>
      <c r="J102" s="112">
        <f>IF(I102=0,"Not Allocated",IF(I102=1,"Allocated","Duplicate"))</f>
        <v/>
      </c>
    </row>
    <row r="103" hidden="1">
      <c r="A103" s="83" t="n">
        <v>704</v>
      </c>
      <c r="B103" s="80" t="inlineStr">
        <is>
          <t>DEBORAH SMITH</t>
        </is>
      </c>
      <c r="C103" s="80" t="inlineStr">
        <is>
          <t>Activ</t>
        </is>
      </c>
      <c r="D103" s="80" t="inlineStr">
        <is>
          <t>CHELSEA CAMPBELL</t>
        </is>
      </c>
      <c r="E103" s="80" t="inlineStr">
        <is>
          <t>KENNETH CONRAD</t>
        </is>
      </c>
      <c r="F103" s="80" t="inlineStr">
        <is>
          <t>KIMBERLY CLARK</t>
        </is>
      </c>
      <c r="G103" s="80" t="inlineStr">
        <is>
          <t>KENNETH CONRAD</t>
        </is>
      </c>
      <c r="H103" s="80" t="inlineStr">
        <is>
          <t>133-1</t>
        </is>
      </c>
      <c r="I103" s="111">
        <f>COUNTIF(Tower_3!G:G,'All Associates'!A103)+COUNTIF(Tower_4!G:G,'All Associates'!A103)+COUNTIF(Tower_5!G:G,'All Associates'!A103)+COUNTIF(Tower_6!G:G,'All Associates'!A103)+COUNTIF(Riviera_3!G:G,'All Associates'!A103)+COUNTIF(Riviera_4!G:G,'All Associates'!A103)+COUNTIF(Riviera_5!G:G,'All Associates'!A103)</f>
        <v/>
      </c>
      <c r="J103" s="112">
        <f>IF(I103=0,"Not Allocated",IF(I103=1,"Allocated","Duplicate"))</f>
        <v/>
      </c>
    </row>
    <row r="104" hidden="1">
      <c r="A104" s="83" t="n">
        <v>1073</v>
      </c>
      <c r="B104" s="80" t="inlineStr">
        <is>
          <t>LAURA CUNNINGHAM</t>
        </is>
      </c>
      <c r="C104" s="80" t="inlineStr">
        <is>
          <t>Activ</t>
        </is>
      </c>
      <c r="D104" s="80" t="inlineStr">
        <is>
          <t>DEBRA OWEN</t>
        </is>
      </c>
      <c r="E104" s="80" t="inlineStr">
        <is>
          <t>DR. DIANA CARROLL</t>
        </is>
      </c>
      <c r="F104" s="80" t="inlineStr">
        <is>
          <t>HEATHER SOLIS</t>
        </is>
      </c>
      <c r="G104" s="80" t="inlineStr">
        <is>
          <t>HEATHER SOLIS</t>
        </is>
      </c>
      <c r="H104" s="80" t="inlineStr">
        <is>
          <t>138-1</t>
        </is>
      </c>
      <c r="I104" s="111">
        <f>COUNTIF(Tower_3!G:G,'All Associates'!A104)+COUNTIF(Tower_4!G:G,'All Associates'!A104)+COUNTIF(Tower_5!G:G,'All Associates'!A104)+COUNTIF(Tower_6!G:G,'All Associates'!A104)+COUNTIF(Riviera_3!G:G,'All Associates'!A104)+COUNTIF(Riviera_4!G:G,'All Associates'!A104)+COUNTIF(Riviera_5!G:G,'All Associates'!A104)</f>
        <v/>
      </c>
      <c r="J104" s="112">
        <f>IF(I104=0,"Not Allocated",IF(I104=1,"Allocated","Duplicate"))</f>
        <v/>
      </c>
    </row>
    <row r="105" hidden="1">
      <c r="A105" s="83" t="n">
        <v>893</v>
      </c>
      <c r="B105" s="80" t="inlineStr">
        <is>
          <t>CHRISTOPHER BARNES</t>
        </is>
      </c>
      <c r="C105" s="80" t="inlineStr">
        <is>
          <t>Activ</t>
        </is>
      </c>
      <c r="D105" s="80" t="inlineStr">
        <is>
          <t>CHRISTINA CHUNG</t>
        </is>
      </c>
      <c r="E105" s="80" t="inlineStr">
        <is>
          <t>CURTIS BROWN JR.</t>
        </is>
      </c>
      <c r="F105" s="80" t="inlineStr">
        <is>
          <t>KIMBERLY CLARK</t>
        </is>
      </c>
      <c r="G105" s="80" t="inlineStr">
        <is>
          <t>CURTIS BROWN JR.</t>
        </is>
      </c>
      <c r="H105" s="80" t="inlineStr">
        <is>
          <t>220-1</t>
        </is>
      </c>
      <c r="I105" s="111">
        <f>COUNTIF(Tower_3!G:G,'All Associates'!A105)+COUNTIF(Tower_4!G:G,'All Associates'!A105)+COUNTIF(Tower_5!G:G,'All Associates'!A105)+COUNTIF(Tower_6!G:G,'All Associates'!A105)+COUNTIF(Riviera_3!G:G,'All Associates'!A105)+COUNTIF(Riviera_4!G:G,'All Associates'!A105)+COUNTIF(Riviera_5!G:G,'All Associates'!A105)</f>
        <v/>
      </c>
      <c r="J105" s="112">
        <f>IF(I105=0,"Not Allocated",IF(I105=1,"Allocated","Duplicate"))</f>
        <v/>
      </c>
    </row>
    <row r="106">
      <c r="A106" s="90" t="n">
        <v>914</v>
      </c>
      <c r="B106" s="91" t="inlineStr">
        <is>
          <t>KEVIN DICKERSON</t>
        </is>
      </c>
      <c r="C106" s="91" t="inlineStr">
        <is>
          <t>Suspendat</t>
        </is>
      </c>
      <c r="D106" s="91" t="inlineStr">
        <is>
          <t>HOLLY WALKER</t>
        </is>
      </c>
      <c r="E106" s="91" t="inlineStr">
        <is>
          <t>DOROTHY MARSHALL</t>
        </is>
      </c>
      <c r="F106" s="91" t="inlineStr">
        <is>
          <t>KIMBERLY CLARK</t>
        </is>
      </c>
      <c r="G106" s="91" t="inlineStr">
        <is>
          <t>KIMBERLY CLARK</t>
        </is>
      </c>
      <c r="H106" s="91" t="inlineStr">
        <is>
          <t>230-1</t>
        </is>
      </c>
      <c r="I106" s="111">
        <f>COUNTIF(Tower_3!G:G,'All Associates'!A106)+COUNTIF(Tower_4!G:G,'All Associates'!A106)+COUNTIF(Tower_5!G:G,'All Associates'!A106)+COUNTIF(Tower_6!G:G,'All Associates'!A106)+COUNTIF(Riviera_3!G:G,'All Associates'!A106)+COUNTIF(Riviera_4!G:G,'All Associates'!A106)+COUNTIF(Riviera_5!G:G,'All Associates'!A106)</f>
        <v/>
      </c>
      <c r="J106" s="112">
        <f>IF(I106=0,"Not Allocated",IF(I106=1,"Allocated","Duplicate"))</f>
        <v/>
      </c>
    </row>
    <row r="107" hidden="1">
      <c r="A107" s="83" t="n">
        <v>576</v>
      </c>
      <c r="B107" s="80" t="inlineStr">
        <is>
          <t>KIM BURGESS</t>
        </is>
      </c>
      <c r="C107" s="80" t="inlineStr">
        <is>
          <t>Activ</t>
        </is>
      </c>
      <c r="D107" s="80" t="inlineStr">
        <is>
          <t>JEFFERY MOYER</t>
        </is>
      </c>
      <c r="E107" s="80" t="inlineStr">
        <is>
          <t>KENNETH CONRAD</t>
        </is>
      </c>
      <c r="F107" s="80" t="inlineStr">
        <is>
          <t>KIMBERLY CLARK</t>
        </is>
      </c>
      <c r="G107" s="80" t="inlineStr">
        <is>
          <t>KENNETH CONRAD</t>
        </is>
      </c>
      <c r="H107" s="80" t="inlineStr">
        <is>
          <t>133-1</t>
        </is>
      </c>
      <c r="I107" s="111">
        <f>COUNTIF(Tower_3!G:G,'All Associates'!A107)+COUNTIF(Tower_4!G:G,'All Associates'!A107)+COUNTIF(Tower_5!G:G,'All Associates'!A107)+COUNTIF(Tower_6!G:G,'All Associates'!A107)+COUNTIF(Riviera_3!G:G,'All Associates'!A107)+COUNTIF(Riviera_4!G:G,'All Associates'!A107)+COUNTIF(Riviera_5!G:G,'All Associates'!A107)</f>
        <v/>
      </c>
      <c r="J107" s="112">
        <f>IF(I107=0,"Not Allocated",IF(I107=1,"Allocated","Duplicate"))</f>
        <v/>
      </c>
    </row>
    <row r="108" hidden="1">
      <c r="A108" s="83" t="n">
        <v>955</v>
      </c>
      <c r="B108" s="80" t="inlineStr">
        <is>
          <t>ASHLEY ROGERS</t>
        </is>
      </c>
      <c r="C108" s="80" t="inlineStr">
        <is>
          <t>Activ</t>
        </is>
      </c>
      <c r="D108" s="80" t="inlineStr">
        <is>
          <t>MICHAEL ROSALES</t>
        </is>
      </c>
      <c r="E108" s="80" t="inlineStr">
        <is>
          <t>BETH TUCKER</t>
        </is>
      </c>
      <c r="F108" s="80" t="inlineStr">
        <is>
          <t>KIMBERLY CLARK</t>
        </is>
      </c>
      <c r="G108" s="80" t="inlineStr">
        <is>
          <t>KIMBERLY CLARK</t>
        </is>
      </c>
      <c r="H108" s="80" t="inlineStr">
        <is>
          <t>156-2</t>
        </is>
      </c>
      <c r="I108" s="111">
        <f>COUNTIF(Tower_3!G:G,'All Associates'!A108)+COUNTIF(Tower_4!G:G,'All Associates'!A108)+COUNTIF(Tower_5!G:G,'All Associates'!A108)+COUNTIF(Tower_6!G:G,'All Associates'!A108)+COUNTIF(Riviera_3!G:G,'All Associates'!A108)+COUNTIF(Riviera_4!G:G,'All Associates'!A108)+COUNTIF(Riviera_5!G:G,'All Associates'!A108)</f>
        <v/>
      </c>
      <c r="J108" s="112">
        <f>IF(I108=0,"Not Allocated",IF(I108=1,"Allocated","Duplicate"))</f>
        <v/>
      </c>
    </row>
    <row r="109" hidden="1">
      <c r="A109" s="83" t="n">
        <v>624</v>
      </c>
      <c r="B109" s="80" t="inlineStr">
        <is>
          <t>TRACY CLARK</t>
        </is>
      </c>
      <c r="C109" s="80" t="inlineStr">
        <is>
          <t>Activ</t>
        </is>
      </c>
      <c r="D109" s="80" t="inlineStr">
        <is>
          <t>HEATHER SOLIS</t>
        </is>
      </c>
      <c r="E109" s="80" t="inlineStr">
        <is>
          <t>KIMBERLY CLARK</t>
        </is>
      </c>
      <c r="F109" s="80" t="inlineStr">
        <is>
          <t>KIMBERLY CLARK</t>
        </is>
      </c>
      <c r="G109" s="80" t="inlineStr">
        <is>
          <t>HEATHER SOLIS</t>
        </is>
      </c>
      <c r="H109" s="80" t="inlineStr">
        <is>
          <t>138-1</t>
        </is>
      </c>
      <c r="I109" s="111">
        <f>COUNTIF(Tower_3!G:G,'All Associates'!A109)+COUNTIF(Tower_4!G:G,'All Associates'!A109)+COUNTIF(Tower_5!G:G,'All Associates'!A109)+COUNTIF(Tower_6!G:G,'All Associates'!A109)+COUNTIF(Riviera_3!G:G,'All Associates'!A109)+COUNTIF(Riviera_4!G:G,'All Associates'!A109)+COUNTIF(Riviera_5!G:G,'All Associates'!A109)</f>
        <v/>
      </c>
      <c r="J109" s="112">
        <f>IF(I109=0,"Not Allocated",IF(I109=1,"Allocated","Duplicate"))</f>
        <v/>
      </c>
    </row>
    <row r="110" hidden="1">
      <c r="A110" s="83" t="n">
        <v>362</v>
      </c>
      <c r="B110" s="80" t="inlineStr">
        <is>
          <t>MELISSA THOMAS</t>
        </is>
      </c>
      <c r="C110" s="80" t="inlineStr">
        <is>
          <t>Activ</t>
        </is>
      </c>
      <c r="D110" s="80" t="inlineStr">
        <is>
          <t>MR. MICHAEL KELLY</t>
        </is>
      </c>
      <c r="E110" s="80" t="inlineStr">
        <is>
          <t>HEATHER SOLIS</t>
        </is>
      </c>
      <c r="F110" s="80" t="inlineStr">
        <is>
          <t>KIMBERLY CLARK</t>
        </is>
      </c>
      <c r="G110" s="80" t="inlineStr">
        <is>
          <t>HEATHER SOLIS</t>
        </is>
      </c>
      <c r="H110" s="80" t="inlineStr">
        <is>
          <t>138-2</t>
        </is>
      </c>
      <c r="I110" s="111">
        <f>COUNTIF(Tower_3!G:G,'All Associates'!A110)+COUNTIF(Tower_4!G:G,'All Associates'!A110)+COUNTIF(Tower_5!G:G,'All Associates'!A110)+COUNTIF(Tower_6!G:G,'All Associates'!A110)+COUNTIF(Riviera_3!G:G,'All Associates'!A110)+COUNTIF(Riviera_4!G:G,'All Associates'!A110)+COUNTIF(Riviera_5!G:G,'All Associates'!A110)</f>
        <v/>
      </c>
      <c r="J110" s="112">
        <f>IF(I110=0,"Not Allocated",IF(I110=1,"Allocated","Duplicate"))</f>
        <v/>
      </c>
    </row>
    <row r="111" hidden="1">
      <c r="A111" s="83" t="n">
        <v>681</v>
      </c>
      <c r="B111" s="80" t="inlineStr">
        <is>
          <t>DARRELL ESTRADA</t>
        </is>
      </c>
      <c r="C111" s="80" t="inlineStr">
        <is>
          <t>Activ</t>
        </is>
      </c>
      <c r="D111" s="80" t="inlineStr">
        <is>
          <t>CHRISTOPHER LONG</t>
        </is>
      </c>
      <c r="E111" s="80" t="inlineStr">
        <is>
          <t>ASHLEY FRENCH</t>
        </is>
      </c>
      <c r="F111" s="80" t="inlineStr">
        <is>
          <t>PHILLIP TRAVIS</t>
        </is>
      </c>
      <c r="G111" s="80" t="inlineStr">
        <is>
          <t>PHILLIP TRAVIS</t>
        </is>
      </c>
      <c r="H111" s="80" t="inlineStr">
        <is>
          <t>156-1</t>
        </is>
      </c>
      <c r="I111" s="111">
        <f>COUNTIF(Tower_3!G:G,'All Associates'!A111)+COUNTIF(Tower_4!G:G,'All Associates'!A111)+COUNTIF(Tower_5!G:G,'All Associates'!A111)+COUNTIF(Tower_6!G:G,'All Associates'!A111)+COUNTIF(Riviera_3!G:G,'All Associates'!A111)+COUNTIF(Riviera_4!G:G,'All Associates'!A111)+COUNTIF(Riviera_5!G:G,'All Associates'!A111)</f>
        <v/>
      </c>
      <c r="J111" s="112">
        <f>IF(I111=0,"Not Allocated",IF(I111=1,"Allocated","Duplicate"))</f>
        <v/>
      </c>
    </row>
    <row r="112" hidden="1">
      <c r="A112" s="83" t="n">
        <v>1187</v>
      </c>
      <c r="B112" s="80" t="inlineStr">
        <is>
          <t>RACHEL NICHOLS</t>
        </is>
      </c>
      <c r="C112" s="80" t="inlineStr">
        <is>
          <t>Activ</t>
        </is>
      </c>
      <c r="D112" s="80" t="inlineStr">
        <is>
          <t>KIMBERLY SULLIVAN</t>
        </is>
      </c>
      <c r="E112" s="80" t="inlineStr">
        <is>
          <t>MR. MICHAEL KELLY</t>
        </is>
      </c>
      <c r="F112" s="80" t="inlineStr">
        <is>
          <t>HEATHER SOLIS</t>
        </is>
      </c>
      <c r="G112" s="80" t="inlineStr">
        <is>
          <t>HEATHER SOLIS</t>
        </is>
      </c>
      <c r="H112" s="80" t="inlineStr">
        <is>
          <t>138-2</t>
        </is>
      </c>
      <c r="I112" s="111">
        <f>COUNTIF(Tower_3!G:G,'All Associates'!A112)+COUNTIF(Tower_4!G:G,'All Associates'!A112)+COUNTIF(Tower_5!G:G,'All Associates'!A112)+COUNTIF(Tower_6!G:G,'All Associates'!A112)+COUNTIF(Riviera_3!G:G,'All Associates'!A112)+COUNTIF(Riviera_4!G:G,'All Associates'!A112)+COUNTIF(Riviera_5!G:G,'All Associates'!A112)</f>
        <v/>
      </c>
      <c r="J112" s="112">
        <f>IF(I112=0,"Not Allocated",IF(I112=1,"Allocated","Duplicate"))</f>
        <v/>
      </c>
    </row>
    <row r="113" hidden="1">
      <c r="A113" s="83" t="n">
        <v>148</v>
      </c>
      <c r="B113" s="80" t="inlineStr">
        <is>
          <t>ALICIA EVANS</t>
        </is>
      </c>
      <c r="C113" s="80" t="inlineStr">
        <is>
          <t>Activ</t>
        </is>
      </c>
      <c r="D113" s="80" t="inlineStr">
        <is>
          <t>LISA LINDSEY</t>
        </is>
      </c>
      <c r="E113" s="80" t="inlineStr">
        <is>
          <t>CHARLES POWELL</t>
        </is>
      </c>
      <c r="F113" s="80" t="inlineStr">
        <is>
          <t>KIMBERLY CLARK</t>
        </is>
      </c>
      <c r="G113" s="80" t="inlineStr">
        <is>
          <t>CHARLES POWELL</t>
        </is>
      </c>
      <c r="H113" s="80" t="inlineStr">
        <is>
          <t>145-1</t>
        </is>
      </c>
      <c r="I113" s="111">
        <f>COUNTIF(Tower_3!G:G,'All Associates'!A113)+COUNTIF(Tower_4!G:G,'All Associates'!A113)+COUNTIF(Tower_5!G:G,'All Associates'!A113)+COUNTIF(Tower_6!G:G,'All Associates'!A113)+COUNTIF(Riviera_3!G:G,'All Associates'!A113)+COUNTIF(Riviera_4!G:G,'All Associates'!A113)+COUNTIF(Riviera_5!G:G,'All Associates'!A113)</f>
        <v/>
      </c>
      <c r="J113" s="112">
        <f>IF(I113=0,"Not Allocated",IF(I113=1,"Allocated","Duplicate"))</f>
        <v/>
      </c>
    </row>
    <row r="114" hidden="1">
      <c r="A114" s="83" t="n">
        <v>944</v>
      </c>
      <c r="B114" s="80" t="inlineStr">
        <is>
          <t>DAVID HARRELL</t>
        </is>
      </c>
      <c r="C114" s="80" t="inlineStr">
        <is>
          <t>Activ</t>
        </is>
      </c>
      <c r="D114" s="80" t="inlineStr">
        <is>
          <t>LARRY KIM</t>
        </is>
      </c>
      <c r="E114" s="80" t="inlineStr">
        <is>
          <t>KENNETH CONRAD</t>
        </is>
      </c>
      <c r="F114" s="80" t="inlineStr">
        <is>
          <t>KIMBERLY CLARK</t>
        </is>
      </c>
      <c r="G114" s="80" t="inlineStr">
        <is>
          <t>KENNETH CONRAD</t>
        </is>
      </c>
      <c r="H114" s="80" t="inlineStr">
        <is>
          <t>127-1</t>
        </is>
      </c>
      <c r="I114" s="111">
        <f>COUNTIF(Tower_3!G:G,'All Associates'!A114)+COUNTIF(Tower_4!G:G,'All Associates'!A114)+COUNTIF(Tower_5!G:G,'All Associates'!A114)+COUNTIF(Tower_6!G:G,'All Associates'!A114)+COUNTIF(Riviera_3!G:G,'All Associates'!A114)+COUNTIF(Riviera_4!G:G,'All Associates'!A114)+COUNTIF(Riviera_5!G:G,'All Associates'!A114)</f>
        <v/>
      </c>
      <c r="J114" s="112">
        <f>IF(I114=0,"Not Allocated",IF(I114=1,"Allocated","Duplicate"))</f>
        <v/>
      </c>
    </row>
    <row r="115" hidden="1">
      <c r="A115" s="83" t="n">
        <v>1017</v>
      </c>
      <c r="B115" s="80" t="inlineStr">
        <is>
          <t>PAUL HARMON</t>
        </is>
      </c>
      <c r="C115" s="80" t="inlineStr">
        <is>
          <t>Activ</t>
        </is>
      </c>
      <c r="D115" s="80" t="inlineStr">
        <is>
          <t>NATHAN MURRAY</t>
        </is>
      </c>
      <c r="E115" s="80" t="inlineStr">
        <is>
          <t>CHARLES POWELL</t>
        </is>
      </c>
      <c r="F115" s="80" t="inlineStr">
        <is>
          <t>KIMBERLY CLARK</t>
        </is>
      </c>
      <c r="G115" s="80" t="inlineStr">
        <is>
          <t>CHARLES POWELL</t>
        </is>
      </c>
      <c r="H115" s="80" t="inlineStr">
        <is>
          <t>138-3</t>
        </is>
      </c>
      <c r="I115" s="111">
        <f>COUNTIF(Tower_3!G:G,'All Associates'!A115)+COUNTIF(Tower_4!G:G,'All Associates'!A115)+COUNTIF(Tower_5!G:G,'All Associates'!A115)+COUNTIF(Tower_6!G:G,'All Associates'!A115)+COUNTIF(Riviera_3!G:G,'All Associates'!A115)+COUNTIF(Riviera_4!G:G,'All Associates'!A115)+COUNTIF(Riviera_5!G:G,'All Associates'!A115)</f>
        <v/>
      </c>
      <c r="J115" s="112">
        <f>IF(I115=0,"Not Allocated",IF(I115=1,"Allocated","Duplicate"))</f>
        <v/>
      </c>
    </row>
    <row r="116">
      <c r="A116" s="90" t="n">
        <v>544</v>
      </c>
      <c r="B116" s="91" t="inlineStr">
        <is>
          <t>GARY LLOYD</t>
        </is>
      </c>
      <c r="C116" s="91" t="inlineStr">
        <is>
          <t>Maternity</t>
        </is>
      </c>
      <c r="D116" s="91" t="inlineStr">
        <is>
          <t>STEPHANIE HANSEN</t>
        </is>
      </c>
      <c r="E116" s="91" t="inlineStr">
        <is>
          <t>HEATHER SOLIS</t>
        </is>
      </c>
      <c r="F116" s="91" t="inlineStr">
        <is>
          <t>KIMBERLY CLARK</t>
        </is>
      </c>
      <c r="G116" s="91" t="inlineStr">
        <is>
          <t>HEATHER SOLIS</t>
        </is>
      </c>
      <c r="H116" s="91" t="inlineStr">
        <is>
          <t>138-1</t>
        </is>
      </c>
      <c r="I116" s="111">
        <f>COUNTIF(Tower_3!G:G,'All Associates'!A116)+COUNTIF(Tower_4!G:G,'All Associates'!A116)+COUNTIF(Tower_5!G:G,'All Associates'!A116)+COUNTIF(Tower_6!G:G,'All Associates'!A116)+COUNTIF(Riviera_3!G:G,'All Associates'!A116)+COUNTIF(Riviera_4!G:G,'All Associates'!A116)+COUNTIF(Riviera_5!G:G,'All Associates'!A116)</f>
        <v/>
      </c>
      <c r="J116" s="112">
        <f>IF(I116=0,"Not Allocated",IF(I116=1,"Allocated","Duplicate"))</f>
        <v/>
      </c>
    </row>
    <row r="117" hidden="1">
      <c r="A117" s="83" t="n">
        <v>1078</v>
      </c>
      <c r="B117" s="80" t="inlineStr">
        <is>
          <t>JASON HERNANDEZ</t>
        </is>
      </c>
      <c r="C117" s="80" t="inlineStr">
        <is>
          <t>Activ</t>
        </is>
      </c>
      <c r="D117" s="80" t="inlineStr">
        <is>
          <t>STEPHANIE PERKINS</t>
        </is>
      </c>
      <c r="E117" s="80" t="inlineStr">
        <is>
          <t>MR. MICHAEL KELLY</t>
        </is>
      </c>
      <c r="F117" s="80" t="inlineStr">
        <is>
          <t>HEATHER SOLIS</t>
        </is>
      </c>
      <c r="G117" s="80" t="inlineStr">
        <is>
          <t>HEATHER SOLIS</t>
        </is>
      </c>
      <c r="H117" s="80" t="inlineStr">
        <is>
          <t>138-2</t>
        </is>
      </c>
      <c r="I117" s="111">
        <f>COUNTIF(Tower_3!G:G,'All Associates'!A117)+COUNTIF(Tower_4!G:G,'All Associates'!A117)+COUNTIF(Tower_5!G:G,'All Associates'!A117)+COUNTIF(Tower_6!G:G,'All Associates'!A117)+COUNTIF(Riviera_3!G:G,'All Associates'!A117)+COUNTIF(Riviera_4!G:G,'All Associates'!A117)+COUNTIF(Riviera_5!G:G,'All Associates'!A117)</f>
        <v/>
      </c>
      <c r="J117" s="112">
        <f>IF(I117=0,"Not Allocated",IF(I117=1,"Allocated","Duplicate"))</f>
        <v/>
      </c>
    </row>
    <row r="118" hidden="1">
      <c r="A118" s="83" t="n">
        <v>116</v>
      </c>
      <c r="B118" s="80" t="inlineStr">
        <is>
          <t>JASON HENDERSON</t>
        </is>
      </c>
      <c r="C118" s="80" t="inlineStr">
        <is>
          <t>Activ</t>
        </is>
      </c>
      <c r="D118" s="80" t="inlineStr">
        <is>
          <t>KIMBERLY CLARK</t>
        </is>
      </c>
      <c r="E118" s="80" t="inlineStr">
        <is>
          <t>KIMBERLY CLARK</t>
        </is>
      </c>
      <c r="F118" s="80" t="inlineStr">
        <is>
          <t>KIMBERLY CLARK</t>
        </is>
      </c>
      <c r="G118" s="80" t="inlineStr">
        <is>
          <t>KIMBERLY CLARK</t>
        </is>
      </c>
      <c r="H118" s="80" t="inlineStr">
        <is>
          <t>210-1</t>
        </is>
      </c>
      <c r="I118" s="111">
        <f>COUNTIF(Tower_3!G:G,'All Associates'!A118)+COUNTIF(Tower_4!G:G,'All Associates'!A118)+COUNTIF(Tower_5!G:G,'All Associates'!A118)+COUNTIF(Tower_6!G:G,'All Associates'!A118)+COUNTIF(Riviera_3!G:G,'All Associates'!A118)+COUNTIF(Riviera_4!G:G,'All Associates'!A118)+COUNTIF(Riviera_5!G:G,'All Associates'!A118)</f>
        <v/>
      </c>
      <c r="J118" s="112">
        <f>IF(I118=0,"Not Allocated",IF(I118=1,"Allocated","Duplicate"))</f>
        <v/>
      </c>
    </row>
    <row r="119" hidden="1">
      <c r="A119" s="83" t="n">
        <v>36</v>
      </c>
      <c r="B119" s="80" t="inlineStr">
        <is>
          <t>JOHN YOUNG</t>
        </is>
      </c>
      <c r="C119" s="80" t="inlineStr">
        <is>
          <t>Activ</t>
        </is>
      </c>
      <c r="D119" s="80" t="inlineStr">
        <is>
          <t>KIMBERLY CLARK</t>
        </is>
      </c>
      <c r="E119" s="80" t="inlineStr">
        <is>
          <t>KIMBERLY CLARK</t>
        </is>
      </c>
      <c r="F119" s="80" t="inlineStr">
        <is>
          <t>KIMBERLY CLARK</t>
        </is>
      </c>
      <c r="G119" s="80" t="inlineStr">
        <is>
          <t>KENNETH CONRAD</t>
        </is>
      </c>
      <c r="H119" s="80" t="inlineStr">
        <is>
          <t>198-3</t>
        </is>
      </c>
      <c r="I119" s="111">
        <f>COUNTIF(Tower_3!G:G,'All Associates'!A119)+COUNTIF(Tower_4!G:G,'All Associates'!A119)+COUNTIF(Tower_5!G:G,'All Associates'!A119)+COUNTIF(Tower_6!G:G,'All Associates'!A119)+COUNTIF(Riviera_3!G:G,'All Associates'!A119)+COUNTIF(Riviera_4!G:G,'All Associates'!A119)+COUNTIF(Riviera_5!G:G,'All Associates'!A119)</f>
        <v/>
      </c>
      <c r="J119" s="112">
        <f>IF(I119=0,"Not Allocated",IF(I119=1,"Allocated","Duplicate"))</f>
        <v/>
      </c>
    </row>
    <row r="120">
      <c r="A120" s="90" t="n">
        <v>822</v>
      </c>
      <c r="B120" s="91" t="inlineStr">
        <is>
          <t>JANET GARDNER</t>
        </is>
      </c>
      <c r="C120" s="91" t="inlineStr">
        <is>
          <t>Suspendat</t>
        </is>
      </c>
      <c r="D120" s="91" t="inlineStr">
        <is>
          <t>KATHERINE ANDREWS</t>
        </is>
      </c>
      <c r="E120" s="91" t="inlineStr">
        <is>
          <t>CHAD PEREZ</t>
        </is>
      </c>
      <c r="F120" s="91" t="inlineStr">
        <is>
          <t>MARISSA CROSS</t>
        </is>
      </c>
      <c r="G120" s="91" t="inlineStr">
        <is>
          <t>MARISSA CROSS</t>
        </is>
      </c>
      <c r="H120" s="91" t="inlineStr">
        <is>
          <t>220-2</t>
        </is>
      </c>
      <c r="I120" s="111">
        <f>COUNTIF(Tower_3!G:G,'All Associates'!A120)+COUNTIF(Tower_4!G:G,'All Associates'!A120)+COUNTIF(Tower_5!G:G,'All Associates'!A120)+COUNTIF(Tower_6!G:G,'All Associates'!A120)+COUNTIF(Riviera_3!G:G,'All Associates'!A120)+COUNTIF(Riviera_4!G:G,'All Associates'!A120)+COUNTIF(Riviera_5!G:G,'All Associates'!A120)</f>
        <v/>
      </c>
      <c r="J120" s="112">
        <f>IF(I120=0,"Not Allocated",IF(I120=1,"Allocated","Duplicate"))</f>
        <v/>
      </c>
    </row>
    <row r="121" hidden="1">
      <c r="A121" s="83" t="n">
        <v>619</v>
      </c>
      <c r="B121" s="80" t="inlineStr">
        <is>
          <t>PAIGE BENTLEY</t>
        </is>
      </c>
      <c r="C121" s="80" t="inlineStr">
        <is>
          <t>Activ</t>
        </is>
      </c>
      <c r="D121" s="80" t="inlineStr">
        <is>
          <t>DONALD WHITE</t>
        </is>
      </c>
      <c r="E121" s="80" t="inlineStr">
        <is>
          <t>MARISSA CROSS</t>
        </is>
      </c>
      <c r="F121" s="80" t="inlineStr">
        <is>
          <t>KIMBERLY CLARK</t>
        </is>
      </c>
      <c r="G121" s="80" t="inlineStr">
        <is>
          <t>MARISSA CROSS</t>
        </is>
      </c>
      <c r="H121" s="80" t="inlineStr">
        <is>
          <t>220-2</t>
        </is>
      </c>
      <c r="I121" s="111">
        <f>COUNTIF(Tower_3!G:G,'All Associates'!A121)+COUNTIF(Tower_4!G:G,'All Associates'!A121)+COUNTIF(Tower_5!G:G,'All Associates'!A121)+COUNTIF(Tower_6!G:G,'All Associates'!A121)+COUNTIF(Riviera_3!G:G,'All Associates'!A121)+COUNTIF(Riviera_4!G:G,'All Associates'!A121)+COUNTIF(Riviera_5!G:G,'All Associates'!A121)</f>
        <v/>
      </c>
      <c r="J121" s="112">
        <f>IF(I121=0,"Not Allocated",IF(I121=1,"Allocated","Duplicate"))</f>
        <v/>
      </c>
    </row>
    <row r="122" hidden="1">
      <c r="A122" s="83" t="n">
        <v>1136</v>
      </c>
      <c r="B122" s="80" t="inlineStr">
        <is>
          <t>GLENN BUCKLEY</t>
        </is>
      </c>
      <c r="C122" s="80" t="inlineStr">
        <is>
          <t>Activ</t>
        </is>
      </c>
      <c r="D122" s="80" t="inlineStr">
        <is>
          <t>PETER ROBINSON</t>
        </is>
      </c>
      <c r="E122" s="80" t="inlineStr">
        <is>
          <t>MR. MICHAEL KELLY</t>
        </is>
      </c>
      <c r="F122" s="80" t="inlineStr">
        <is>
          <t>HEATHER SOLIS</t>
        </is>
      </c>
      <c r="G122" s="80" t="inlineStr">
        <is>
          <t>HEATHER SOLIS</t>
        </is>
      </c>
      <c r="H122" s="80" t="inlineStr">
        <is>
          <t>138-2</t>
        </is>
      </c>
      <c r="I122" s="111">
        <f>COUNTIF(Tower_3!G:G,'All Associates'!A122)+COUNTIF(Tower_4!G:G,'All Associates'!A122)+COUNTIF(Tower_5!G:G,'All Associates'!A122)+COUNTIF(Tower_6!G:G,'All Associates'!A122)+COUNTIF(Riviera_3!G:G,'All Associates'!A122)+COUNTIF(Riviera_4!G:G,'All Associates'!A122)+COUNTIF(Riviera_5!G:G,'All Associates'!A122)</f>
        <v/>
      </c>
      <c r="J122" s="112">
        <f>IF(I122=0,"Not Allocated",IF(I122=1,"Allocated","Duplicate"))</f>
        <v/>
      </c>
    </row>
    <row r="123" hidden="1">
      <c r="A123" s="83" t="n">
        <v>400</v>
      </c>
      <c r="B123" s="80" t="inlineStr">
        <is>
          <t>LAUREN COSTA</t>
        </is>
      </c>
      <c r="C123" s="80" t="inlineStr">
        <is>
          <t>Activ</t>
        </is>
      </c>
      <c r="D123" s="80" t="inlineStr">
        <is>
          <t>KAYLA HICKS</t>
        </is>
      </c>
      <c r="E123" s="80" t="inlineStr">
        <is>
          <t>ALEXANDER MILLER</t>
        </is>
      </c>
      <c r="F123" s="80" t="inlineStr">
        <is>
          <t>KIMBERLY CLARK</t>
        </is>
      </c>
      <c r="G123" s="80" t="inlineStr">
        <is>
          <t>ALEXANDER MILLER</t>
        </is>
      </c>
      <c r="H123" s="80" t="inlineStr">
        <is>
          <t>135-1</t>
        </is>
      </c>
      <c r="I123" s="111">
        <f>COUNTIF(Tower_3!G:G,'All Associates'!A123)+COUNTIF(Tower_4!G:G,'All Associates'!A123)+COUNTIF(Tower_5!G:G,'All Associates'!A123)+COUNTIF(Tower_6!G:G,'All Associates'!A123)+COUNTIF(Riviera_3!G:G,'All Associates'!A123)+COUNTIF(Riviera_4!G:G,'All Associates'!A123)+COUNTIF(Riviera_5!G:G,'All Associates'!A123)</f>
        <v/>
      </c>
      <c r="J123" s="112">
        <f>IF(I123=0,"Not Allocated",IF(I123=1,"Allocated","Duplicate"))</f>
        <v/>
      </c>
    </row>
    <row r="124" hidden="1">
      <c r="A124" s="83" t="n">
        <v>1094</v>
      </c>
      <c r="B124" s="80" t="inlineStr">
        <is>
          <t>WILLIAM OLIVER</t>
        </is>
      </c>
      <c r="C124" s="80" t="inlineStr">
        <is>
          <t>Activ</t>
        </is>
      </c>
      <c r="D124" s="80" t="inlineStr">
        <is>
          <t>NICOLAS GUTIERREZ</t>
        </is>
      </c>
      <c r="E124" s="80" t="inlineStr">
        <is>
          <t>JOHN SCOTT DDS</t>
        </is>
      </c>
      <c r="F124" s="80" t="inlineStr">
        <is>
          <t>ADAM SMITH</t>
        </is>
      </c>
      <c r="G124" s="80" t="inlineStr">
        <is>
          <t>PHILLIP TRAVIS</t>
        </is>
      </c>
      <c r="H124" s="80" t="inlineStr">
        <is>
          <t>156-1</t>
        </is>
      </c>
      <c r="I124" s="111">
        <f>COUNTIF(Tower_3!G:G,'All Associates'!A124)+COUNTIF(Tower_4!G:G,'All Associates'!A124)+COUNTIF(Tower_5!G:G,'All Associates'!A124)+COUNTIF(Tower_6!G:G,'All Associates'!A124)+COUNTIF(Riviera_3!G:G,'All Associates'!A124)+COUNTIF(Riviera_4!G:G,'All Associates'!A124)+COUNTIF(Riviera_5!G:G,'All Associates'!A124)</f>
        <v/>
      </c>
      <c r="J124" s="112">
        <f>IF(I124=0,"Not Allocated",IF(I124=1,"Allocated","Duplicate"))</f>
        <v/>
      </c>
    </row>
    <row r="125" hidden="1">
      <c r="A125" s="83" t="n">
        <v>900</v>
      </c>
      <c r="B125" s="80" t="inlineStr">
        <is>
          <t>MICHELLE WILLIAMS</t>
        </is>
      </c>
      <c r="C125" s="80" t="inlineStr">
        <is>
          <t>Activ</t>
        </is>
      </c>
      <c r="D125" s="80" t="inlineStr">
        <is>
          <t>MATTHEW BAKER</t>
        </is>
      </c>
      <c r="E125" s="80" t="inlineStr">
        <is>
          <t>MICHAEL ROSALES</t>
        </is>
      </c>
      <c r="F125" s="80" t="inlineStr">
        <is>
          <t>BETH TUCKER</t>
        </is>
      </c>
      <c r="G125" s="80" t="inlineStr">
        <is>
          <t>KIMBERLY CLARK</t>
        </is>
      </c>
      <c r="H125" s="80" t="inlineStr">
        <is>
          <t>156-2</t>
        </is>
      </c>
      <c r="I125" s="111">
        <f>COUNTIF(Tower_3!G:G,'All Associates'!A125)+COUNTIF(Tower_4!G:G,'All Associates'!A125)+COUNTIF(Tower_5!G:G,'All Associates'!A125)+COUNTIF(Tower_6!G:G,'All Associates'!A125)+COUNTIF(Riviera_3!G:G,'All Associates'!A125)+COUNTIF(Riviera_4!G:G,'All Associates'!A125)+COUNTIF(Riviera_5!G:G,'All Associates'!A125)</f>
        <v/>
      </c>
      <c r="J125" s="112">
        <f>IF(I125=0,"Not Allocated",IF(I125=1,"Allocated","Duplicate"))</f>
        <v/>
      </c>
    </row>
    <row r="126" hidden="1">
      <c r="A126" s="83" t="n">
        <v>945</v>
      </c>
      <c r="B126" s="80" t="inlineStr">
        <is>
          <t>PATRICK HARRISON</t>
        </is>
      </c>
      <c r="C126" s="86" t="inlineStr">
        <is>
          <t>Activ</t>
        </is>
      </c>
      <c r="D126" s="80" t="inlineStr">
        <is>
          <t>LINDA DONOVAN</t>
        </is>
      </c>
      <c r="E126" s="80" t="inlineStr">
        <is>
          <t>REBECCA VAUGHN</t>
        </is>
      </c>
      <c r="F126" s="80" t="inlineStr">
        <is>
          <t>MR. MICHAEL KELLY</t>
        </is>
      </c>
      <c r="G126" s="80" t="inlineStr">
        <is>
          <t>HEATHER SOLIS</t>
        </is>
      </c>
      <c r="H126" s="80" t="inlineStr">
        <is>
          <t>138-2</t>
        </is>
      </c>
      <c r="I126" s="111">
        <f>COUNTIF(Tower_3!G:G,'All Associates'!A126)+COUNTIF(Tower_4!G:G,'All Associates'!A126)+COUNTIF(Tower_5!G:G,'All Associates'!A126)+COUNTIF(Tower_6!G:G,'All Associates'!A126)+COUNTIF(Riviera_3!G:G,'All Associates'!A126)+COUNTIF(Riviera_4!G:G,'All Associates'!A126)+COUNTIF(Riviera_5!G:G,'All Associates'!A126)</f>
        <v/>
      </c>
      <c r="J126" s="112">
        <f>IF(I126=0,"Not Allocated",IF(I126=1,"Allocated","Duplicate"))</f>
        <v/>
      </c>
    </row>
    <row r="127" hidden="1">
      <c r="A127" s="83" t="n">
        <v>517</v>
      </c>
      <c r="B127" s="80" t="inlineStr">
        <is>
          <t>MARY STEVENS</t>
        </is>
      </c>
      <c r="C127" s="80" t="inlineStr">
        <is>
          <t>Activ</t>
        </is>
      </c>
      <c r="D127" s="80" t="inlineStr">
        <is>
          <t>ADAM SMITH</t>
        </is>
      </c>
      <c r="E127" s="80" t="inlineStr">
        <is>
          <t>PHILLIP TRAVIS</t>
        </is>
      </c>
      <c r="F127" s="80" t="inlineStr">
        <is>
          <t>KIMBERLY CLARK</t>
        </is>
      </c>
      <c r="G127" s="80" t="inlineStr">
        <is>
          <t>PHILLIP TRAVIS</t>
        </is>
      </c>
      <c r="H127" s="80" t="inlineStr">
        <is>
          <t>156-1</t>
        </is>
      </c>
      <c r="I127" s="111">
        <f>COUNTIF(Tower_3!G:G,'All Associates'!A127)+COUNTIF(Tower_4!G:G,'All Associates'!A127)+COUNTIF(Tower_5!G:G,'All Associates'!A127)+COUNTIF(Tower_6!G:G,'All Associates'!A127)+COUNTIF(Riviera_3!G:G,'All Associates'!A127)+COUNTIF(Riviera_4!G:G,'All Associates'!A127)+COUNTIF(Riviera_5!G:G,'All Associates'!A127)</f>
        <v/>
      </c>
      <c r="J127" s="112">
        <f>IF(I127=0,"Not Allocated",IF(I127=1,"Allocated","Duplicate"))</f>
        <v/>
      </c>
    </row>
    <row r="128" hidden="1">
      <c r="A128" s="83" t="n">
        <v>726</v>
      </c>
      <c r="B128" s="80" t="inlineStr">
        <is>
          <t>SCOTT TUCKER</t>
        </is>
      </c>
      <c r="C128" s="80" t="inlineStr">
        <is>
          <t>Activ</t>
        </is>
      </c>
      <c r="D128" s="80" t="inlineStr">
        <is>
          <t>KATHERINE DELGADO</t>
        </is>
      </c>
      <c r="E128" s="80" t="inlineStr">
        <is>
          <t>LOUIS PETERSEN</t>
        </is>
      </c>
      <c r="F128" s="80" t="inlineStr">
        <is>
          <t>KENNETH CONRAD</t>
        </is>
      </c>
      <c r="G128" s="80" t="inlineStr">
        <is>
          <t>KENNETH CONRAD</t>
        </is>
      </c>
      <c r="H128" s="80" t="inlineStr">
        <is>
          <t>127-1</t>
        </is>
      </c>
      <c r="I128" s="111">
        <f>COUNTIF(Tower_3!G:G,'All Associates'!A128)+COUNTIF(Tower_4!G:G,'All Associates'!A128)+COUNTIF(Tower_5!G:G,'All Associates'!A128)+COUNTIF(Tower_6!G:G,'All Associates'!A128)+COUNTIF(Riviera_3!G:G,'All Associates'!A128)+COUNTIF(Riviera_4!G:G,'All Associates'!A128)+COUNTIF(Riviera_5!G:G,'All Associates'!A128)</f>
        <v/>
      </c>
      <c r="J128" s="112">
        <f>IF(I128=0,"Not Allocated",IF(I128=1,"Allocated","Duplicate"))</f>
        <v/>
      </c>
    </row>
    <row r="129">
      <c r="A129" s="90" t="n">
        <v>903</v>
      </c>
      <c r="B129" s="91" t="inlineStr">
        <is>
          <t>DIANA DAVENPORT</t>
        </is>
      </c>
      <c r="C129" s="91" t="inlineStr">
        <is>
          <t>Suspendat</t>
        </is>
      </c>
      <c r="D129" s="91" t="inlineStr">
        <is>
          <t>HOLLY WALKER</t>
        </is>
      </c>
      <c r="E129" s="91" t="inlineStr">
        <is>
          <t>DOROTHY MARSHALL</t>
        </is>
      </c>
      <c r="F129" s="91" t="inlineStr">
        <is>
          <t>KIMBERLY CLARK</t>
        </is>
      </c>
      <c r="G129" s="91" t="inlineStr">
        <is>
          <t>KIMBERLY CLARK</t>
        </is>
      </c>
      <c r="H129" s="91" t="inlineStr">
        <is>
          <t>230-1</t>
        </is>
      </c>
      <c r="I129" s="111">
        <f>COUNTIF(Tower_3!G:G,'All Associates'!A129)+COUNTIF(Tower_4!G:G,'All Associates'!A129)+COUNTIF(Tower_5!G:G,'All Associates'!A129)+COUNTIF(Tower_6!G:G,'All Associates'!A129)+COUNTIF(Riviera_3!G:G,'All Associates'!A129)+COUNTIF(Riviera_4!G:G,'All Associates'!A129)+COUNTIF(Riviera_5!G:G,'All Associates'!A129)</f>
        <v/>
      </c>
      <c r="J129" s="112">
        <f>IF(I129=0,"Not Allocated",IF(I129=1,"Allocated","Duplicate"))</f>
        <v/>
      </c>
    </row>
    <row r="130" hidden="1">
      <c r="A130" s="83" t="n">
        <v>350</v>
      </c>
      <c r="B130" s="80" t="inlineStr">
        <is>
          <t>AMBER MCDONALD</t>
        </is>
      </c>
      <c r="C130" s="80" t="inlineStr">
        <is>
          <t>Activ</t>
        </is>
      </c>
      <c r="D130" s="80" t="inlineStr">
        <is>
          <t>DANIEL ALVAREZ</t>
        </is>
      </c>
      <c r="E130" s="80" t="inlineStr">
        <is>
          <t>ALEXANDER BAUTISTA</t>
        </is>
      </c>
      <c r="F130" s="80" t="inlineStr">
        <is>
          <t>HEATHER SOLIS</t>
        </is>
      </c>
      <c r="G130" s="80" t="inlineStr">
        <is>
          <t>HEATHER SOLIS</t>
        </is>
      </c>
      <c r="H130" s="80" t="inlineStr">
        <is>
          <t>138-1</t>
        </is>
      </c>
      <c r="I130" s="111">
        <f>COUNTIF(Tower_3!G:G,'All Associates'!A130)+COUNTIF(Tower_4!G:G,'All Associates'!A130)+COUNTIF(Tower_5!G:G,'All Associates'!A130)+COUNTIF(Tower_6!G:G,'All Associates'!A130)+COUNTIF(Riviera_3!G:G,'All Associates'!A130)+COUNTIF(Riviera_4!G:G,'All Associates'!A130)+COUNTIF(Riviera_5!G:G,'All Associates'!A130)</f>
        <v/>
      </c>
      <c r="J130" s="112">
        <f>IF(I130=0,"Not Allocated",IF(I130=1,"Allocated","Duplicate"))</f>
        <v/>
      </c>
    </row>
    <row r="131" hidden="1">
      <c r="A131" s="83" t="n">
        <v>246</v>
      </c>
      <c r="B131" s="80" t="inlineStr">
        <is>
          <t>LORI TAYLOR</t>
        </is>
      </c>
      <c r="C131" s="80" t="inlineStr">
        <is>
          <t>Activ</t>
        </is>
      </c>
      <c r="D131" s="80" t="inlineStr">
        <is>
          <t>JAMES EDWARDS</t>
        </is>
      </c>
      <c r="E131" s="80" t="inlineStr">
        <is>
          <t>DR. DIANA CARROLL</t>
        </is>
      </c>
      <c r="F131" s="80" t="inlineStr">
        <is>
          <t>HEATHER SOLIS</t>
        </is>
      </c>
      <c r="G131" s="80" t="inlineStr">
        <is>
          <t>HEATHER SOLIS</t>
        </is>
      </c>
      <c r="H131" s="80" t="inlineStr">
        <is>
          <t>138-1</t>
        </is>
      </c>
      <c r="I131" s="111">
        <f>COUNTIF(Tower_3!G:G,'All Associates'!A131)+COUNTIF(Tower_4!G:G,'All Associates'!A131)+COUNTIF(Tower_5!G:G,'All Associates'!A131)+COUNTIF(Tower_6!G:G,'All Associates'!A131)+COUNTIF(Riviera_3!G:G,'All Associates'!A131)+COUNTIF(Riviera_4!G:G,'All Associates'!A131)+COUNTIF(Riviera_5!G:G,'All Associates'!A131)</f>
        <v/>
      </c>
      <c r="J131" s="112">
        <f>IF(I131=0,"Not Allocated",IF(I131=1,"Allocated","Duplicate"))</f>
        <v/>
      </c>
    </row>
    <row r="132" hidden="1">
      <c r="A132" s="83" t="n">
        <v>618</v>
      </c>
      <c r="B132" s="80" t="inlineStr">
        <is>
          <t>DIANA WALKER</t>
        </is>
      </c>
      <c r="C132" s="80" t="inlineStr">
        <is>
          <t>Activ</t>
        </is>
      </c>
      <c r="D132" s="80" t="inlineStr">
        <is>
          <t>OSCAR TYLER</t>
        </is>
      </c>
      <c r="E132" s="80" t="inlineStr">
        <is>
          <t>KENNETH CONRAD</t>
        </is>
      </c>
      <c r="F132" s="80" t="inlineStr">
        <is>
          <t>KIMBERLY CLARK</t>
        </is>
      </c>
      <c r="G132" s="80" t="inlineStr">
        <is>
          <t>KENNETH CONRAD</t>
        </is>
      </c>
      <c r="H132" s="80" t="inlineStr">
        <is>
          <t>127-1</t>
        </is>
      </c>
      <c r="I132" s="111">
        <f>COUNTIF(Tower_3!G:G,'All Associates'!A132)+COUNTIF(Tower_4!G:G,'All Associates'!A132)+COUNTIF(Tower_5!G:G,'All Associates'!A132)+COUNTIF(Tower_6!G:G,'All Associates'!A132)+COUNTIF(Riviera_3!G:G,'All Associates'!A132)+COUNTIF(Riviera_4!G:G,'All Associates'!A132)+COUNTIF(Riviera_5!G:G,'All Associates'!A132)</f>
        <v/>
      </c>
      <c r="J132" s="112">
        <f>IF(I132=0,"Not Allocated",IF(I132=1,"Allocated","Duplicate"))</f>
        <v/>
      </c>
    </row>
    <row r="133" hidden="1">
      <c r="A133" s="83" t="n">
        <v>1093</v>
      </c>
      <c r="B133" s="80" t="inlineStr">
        <is>
          <t>MARIE JENNINGS</t>
        </is>
      </c>
      <c r="C133" s="80" t="inlineStr">
        <is>
          <t>Activ</t>
        </is>
      </c>
      <c r="D133" s="80" t="inlineStr">
        <is>
          <t>ROBERT MUELLER</t>
        </is>
      </c>
      <c r="E133" s="80" t="inlineStr">
        <is>
          <t>CHAD PEREZ</t>
        </is>
      </c>
      <c r="F133" s="80" t="inlineStr">
        <is>
          <t>MARISSA CROSS</t>
        </is>
      </c>
      <c r="G133" s="80" t="inlineStr">
        <is>
          <t>MARISSA CROSS</t>
        </is>
      </c>
      <c r="H133" s="80" t="inlineStr">
        <is>
          <t>220-2</t>
        </is>
      </c>
      <c r="I133" s="111">
        <f>COUNTIF(Tower_3!G:G,'All Associates'!A133)+COUNTIF(Tower_4!G:G,'All Associates'!A133)+COUNTIF(Tower_5!G:G,'All Associates'!A133)+COUNTIF(Tower_6!G:G,'All Associates'!A133)+COUNTIF(Riviera_3!G:G,'All Associates'!A133)+COUNTIF(Riviera_4!G:G,'All Associates'!A133)+COUNTIF(Riviera_5!G:G,'All Associates'!A133)</f>
        <v/>
      </c>
      <c r="J133" s="112">
        <f>IF(I133=0,"Not Allocated",IF(I133=1,"Allocated","Duplicate"))</f>
        <v/>
      </c>
    </row>
    <row r="134" hidden="1">
      <c r="A134" s="83" t="n">
        <v>1173</v>
      </c>
      <c r="B134" s="80" t="inlineStr">
        <is>
          <t>BRENDA BRENNAN</t>
        </is>
      </c>
      <c r="C134" s="80" t="inlineStr">
        <is>
          <t>Activ</t>
        </is>
      </c>
      <c r="D134" s="80" t="inlineStr">
        <is>
          <t>CYNTHIA STUART</t>
        </is>
      </c>
      <c r="E134" s="80" t="inlineStr">
        <is>
          <t>ALEXANDER BAUTISTA</t>
        </is>
      </c>
      <c r="F134" s="80" t="inlineStr">
        <is>
          <t>HEATHER SOLIS</t>
        </is>
      </c>
      <c r="G134" s="80" t="inlineStr">
        <is>
          <t>HEATHER SOLIS</t>
        </is>
      </c>
      <c r="H134" s="80" t="inlineStr">
        <is>
          <t>138-1</t>
        </is>
      </c>
      <c r="I134" s="111">
        <f>COUNTIF(Tower_3!G:G,'All Associates'!A134)+COUNTIF(Tower_4!G:G,'All Associates'!A134)+COUNTIF(Tower_5!G:G,'All Associates'!A134)+COUNTIF(Tower_6!G:G,'All Associates'!A134)+COUNTIF(Riviera_3!G:G,'All Associates'!A134)+COUNTIF(Riviera_4!G:G,'All Associates'!A134)+COUNTIF(Riviera_5!G:G,'All Associates'!A134)</f>
        <v/>
      </c>
      <c r="J134" s="112">
        <f>IF(I134=0,"Not Allocated",IF(I134=1,"Allocated","Duplicate"))</f>
        <v/>
      </c>
    </row>
    <row r="135" hidden="1">
      <c r="A135" s="83" t="n">
        <v>696</v>
      </c>
      <c r="B135" s="80" t="inlineStr">
        <is>
          <t>JULIA FOX</t>
        </is>
      </c>
      <c r="C135" s="80" t="inlineStr">
        <is>
          <t>Activ</t>
        </is>
      </c>
      <c r="D135" s="80" t="inlineStr">
        <is>
          <t>GARRETT PARKER</t>
        </is>
      </c>
      <c r="E135" s="80" t="inlineStr">
        <is>
          <t>ASHLEY FRENCH</t>
        </is>
      </c>
      <c r="F135" s="80" t="inlineStr">
        <is>
          <t>PHILLIP TRAVIS</t>
        </is>
      </c>
      <c r="G135" s="80" t="inlineStr">
        <is>
          <t>PHILLIP TRAVIS</t>
        </is>
      </c>
      <c r="H135" s="80" t="inlineStr">
        <is>
          <t>156-1</t>
        </is>
      </c>
      <c r="I135" s="111">
        <f>COUNTIF(Tower_3!G:G,'All Associates'!A135)+COUNTIF(Tower_4!G:G,'All Associates'!A135)+COUNTIF(Tower_5!G:G,'All Associates'!A135)+COUNTIF(Tower_6!G:G,'All Associates'!A135)+COUNTIF(Riviera_3!G:G,'All Associates'!A135)+COUNTIF(Riviera_4!G:G,'All Associates'!A135)+COUNTIF(Riviera_5!G:G,'All Associates'!A135)</f>
        <v/>
      </c>
      <c r="J135" s="112">
        <f>IF(I135=0,"Not Allocated",IF(I135=1,"Allocated","Duplicate"))</f>
        <v/>
      </c>
    </row>
    <row r="136" hidden="1">
      <c r="A136" s="83" t="n">
        <v>118</v>
      </c>
      <c r="B136" s="80" t="inlineStr">
        <is>
          <t>STEPHEN SIMS</t>
        </is>
      </c>
      <c r="C136" s="80" t="inlineStr">
        <is>
          <t>Activ</t>
        </is>
      </c>
      <c r="D136" s="80" t="inlineStr">
        <is>
          <t>MR. MICHAEL KELLY</t>
        </is>
      </c>
      <c r="E136" s="80" t="inlineStr">
        <is>
          <t>HEATHER SOLIS</t>
        </is>
      </c>
      <c r="F136" s="80" t="inlineStr">
        <is>
          <t>KIMBERLY CLARK</t>
        </is>
      </c>
      <c r="G136" s="80" t="inlineStr">
        <is>
          <t>HEATHER SOLIS</t>
        </is>
      </c>
      <c r="H136" s="80" t="inlineStr">
        <is>
          <t>138-2</t>
        </is>
      </c>
      <c r="I136" s="111">
        <f>COUNTIF(Tower_3!G:G,'All Associates'!A136)+COUNTIF(Tower_4!G:G,'All Associates'!A136)+COUNTIF(Tower_5!G:G,'All Associates'!A136)+COUNTIF(Tower_6!G:G,'All Associates'!A136)+COUNTIF(Riviera_3!G:G,'All Associates'!A136)+COUNTIF(Riviera_4!G:G,'All Associates'!A136)+COUNTIF(Riviera_5!G:G,'All Associates'!A136)</f>
        <v/>
      </c>
      <c r="J136" s="112">
        <f>IF(I136=0,"Not Allocated",IF(I136=1,"Allocated","Duplicate"))</f>
        <v/>
      </c>
    </row>
    <row r="137" hidden="1">
      <c r="A137" s="83" t="n">
        <v>380</v>
      </c>
      <c r="B137" s="80" t="inlineStr">
        <is>
          <t>BRIAN CLEMENTS</t>
        </is>
      </c>
      <c r="C137" s="80" t="inlineStr">
        <is>
          <t>Activ</t>
        </is>
      </c>
      <c r="D137" s="80" t="inlineStr">
        <is>
          <t>CYNTHIA STUART</t>
        </is>
      </c>
      <c r="E137" s="80" t="inlineStr">
        <is>
          <t>ALEXANDER BAUTISTA</t>
        </is>
      </c>
      <c r="F137" s="80" t="inlineStr">
        <is>
          <t>HEATHER SOLIS</t>
        </is>
      </c>
      <c r="G137" s="80" t="inlineStr">
        <is>
          <t>HEATHER SOLIS</t>
        </is>
      </c>
      <c r="H137" s="80" t="inlineStr">
        <is>
          <t>138-1</t>
        </is>
      </c>
      <c r="I137" s="111">
        <f>COUNTIF(Tower_3!G:G,'All Associates'!A137)+COUNTIF(Tower_4!G:G,'All Associates'!A137)+COUNTIF(Tower_5!G:G,'All Associates'!A137)+COUNTIF(Tower_6!G:G,'All Associates'!A137)+COUNTIF(Riviera_3!G:G,'All Associates'!A137)+COUNTIF(Riviera_4!G:G,'All Associates'!A137)+COUNTIF(Riviera_5!G:G,'All Associates'!A137)</f>
        <v/>
      </c>
      <c r="J137" s="112">
        <f>IF(I137=0,"Not Allocated",IF(I137=1,"Allocated","Duplicate"))</f>
        <v/>
      </c>
    </row>
    <row r="138" hidden="1">
      <c r="A138" s="83" t="n">
        <v>73</v>
      </c>
      <c r="B138" s="80" t="inlineStr">
        <is>
          <t>KEVIN BRYAN</t>
        </is>
      </c>
      <c r="C138" s="80" t="inlineStr">
        <is>
          <t>Activ</t>
        </is>
      </c>
      <c r="D138" s="80" t="inlineStr">
        <is>
          <t>CRYSTAL HOLLAND</t>
        </is>
      </c>
      <c r="E138" s="80" t="inlineStr">
        <is>
          <t>ALEXANDER MILLER</t>
        </is>
      </c>
      <c r="F138" s="80" t="inlineStr">
        <is>
          <t>KIMBERLY CLARK</t>
        </is>
      </c>
      <c r="G138" s="80" t="inlineStr">
        <is>
          <t>ALEXANDER MILLER</t>
        </is>
      </c>
      <c r="H138" s="80" t="inlineStr">
        <is>
          <t>135-1</t>
        </is>
      </c>
      <c r="I138" s="111">
        <f>COUNTIF(Tower_3!G:G,'All Associates'!A138)+COUNTIF(Tower_4!G:G,'All Associates'!A138)+COUNTIF(Tower_5!G:G,'All Associates'!A138)+COUNTIF(Tower_6!G:G,'All Associates'!A138)+COUNTIF(Riviera_3!G:G,'All Associates'!A138)+COUNTIF(Riviera_4!G:G,'All Associates'!A138)+COUNTIF(Riviera_5!G:G,'All Associates'!A138)</f>
        <v/>
      </c>
      <c r="J138" s="112">
        <f>IF(I138=0,"Not Allocated",IF(I138=1,"Allocated","Duplicate"))</f>
        <v/>
      </c>
    </row>
    <row r="139" hidden="1">
      <c r="A139" s="83" t="n">
        <v>168</v>
      </c>
      <c r="B139" s="80" t="inlineStr">
        <is>
          <t>ALEXANDER NICHOLS</t>
        </is>
      </c>
      <c r="C139" s="80" t="inlineStr">
        <is>
          <t>Activ</t>
        </is>
      </c>
      <c r="D139" s="80" t="inlineStr">
        <is>
          <t>CHELSEA CAMPBELL</t>
        </is>
      </c>
      <c r="E139" s="80" t="inlineStr">
        <is>
          <t>KENNETH CONRAD</t>
        </is>
      </c>
      <c r="F139" s="80" t="inlineStr">
        <is>
          <t>KIMBERLY CLARK</t>
        </is>
      </c>
      <c r="G139" s="80" t="inlineStr">
        <is>
          <t>KENNETH CONRAD</t>
        </is>
      </c>
      <c r="H139" s="80" t="inlineStr">
        <is>
          <t>152-1</t>
        </is>
      </c>
      <c r="I139" s="111">
        <f>COUNTIF(Tower_3!G:G,'All Associates'!A139)+COUNTIF(Tower_4!G:G,'All Associates'!A139)+COUNTIF(Tower_5!G:G,'All Associates'!A139)+COUNTIF(Tower_6!G:G,'All Associates'!A139)+COUNTIF(Riviera_3!G:G,'All Associates'!A139)+COUNTIF(Riviera_4!G:G,'All Associates'!A139)+COUNTIF(Riviera_5!G:G,'All Associates'!A139)</f>
        <v/>
      </c>
      <c r="J139" s="112">
        <f>IF(I139=0,"Not Allocated",IF(I139=1,"Allocated","Duplicate"))</f>
        <v/>
      </c>
    </row>
    <row r="140" hidden="1">
      <c r="A140" s="83" t="n">
        <v>748</v>
      </c>
      <c r="B140" s="80" t="inlineStr">
        <is>
          <t>MOLLY NORTON</t>
        </is>
      </c>
      <c r="C140" s="80" t="inlineStr">
        <is>
          <t>Activ</t>
        </is>
      </c>
      <c r="D140" s="80" t="inlineStr">
        <is>
          <t>EDDIE DAY</t>
        </is>
      </c>
      <c r="E140" s="80" t="inlineStr">
        <is>
          <t>STEPHANIE WEAVER</t>
        </is>
      </c>
      <c r="F140" s="80" t="inlineStr">
        <is>
          <t>MARISSA CROSS</t>
        </is>
      </c>
      <c r="G140" s="80" t="inlineStr">
        <is>
          <t>MARISSA CROSS</t>
        </is>
      </c>
      <c r="H140" s="80" t="inlineStr">
        <is>
          <t>220-2</t>
        </is>
      </c>
      <c r="I140" s="111">
        <f>COUNTIF(Tower_3!G:G,'All Associates'!A140)+COUNTIF(Tower_4!G:G,'All Associates'!A140)+COUNTIF(Tower_5!G:G,'All Associates'!A140)+COUNTIF(Tower_6!G:G,'All Associates'!A140)+COUNTIF(Riviera_3!G:G,'All Associates'!A140)+COUNTIF(Riviera_4!G:G,'All Associates'!A140)+COUNTIF(Riviera_5!G:G,'All Associates'!A140)</f>
        <v/>
      </c>
      <c r="J140" s="112">
        <f>IF(I140=0,"Not Allocated",IF(I140=1,"Allocated","Duplicate"))</f>
        <v/>
      </c>
    </row>
    <row r="141" hidden="1">
      <c r="A141" s="83" t="n">
        <v>1079</v>
      </c>
      <c r="B141" s="80" t="inlineStr">
        <is>
          <t>RANDALL LEE</t>
        </is>
      </c>
      <c r="C141" s="80" t="inlineStr">
        <is>
          <t>Activ</t>
        </is>
      </c>
      <c r="D141" s="80" t="inlineStr">
        <is>
          <t>JOHN SCOTT DDS</t>
        </is>
      </c>
      <c r="E141" s="80" t="inlineStr">
        <is>
          <t>ADAM SMITH</t>
        </is>
      </c>
      <c r="F141" s="80" t="inlineStr">
        <is>
          <t>PHILLIP TRAVIS</t>
        </is>
      </c>
      <c r="G141" s="80" t="inlineStr">
        <is>
          <t>PHILLIP TRAVIS</t>
        </is>
      </c>
      <c r="H141" s="80" t="inlineStr">
        <is>
          <t>156-1</t>
        </is>
      </c>
      <c r="I141" s="111">
        <f>COUNTIF(Tower_3!G:G,'All Associates'!A141)+COUNTIF(Tower_4!G:G,'All Associates'!A141)+COUNTIF(Tower_5!G:G,'All Associates'!A141)+COUNTIF(Tower_6!G:G,'All Associates'!A141)+COUNTIF(Riviera_3!G:G,'All Associates'!A141)+COUNTIF(Riviera_4!G:G,'All Associates'!A141)+COUNTIF(Riviera_5!G:G,'All Associates'!A141)</f>
        <v/>
      </c>
      <c r="J141" s="112">
        <f>IF(I141=0,"Not Allocated",IF(I141=1,"Allocated","Duplicate"))</f>
        <v/>
      </c>
    </row>
    <row r="142" hidden="1">
      <c r="A142" s="83" t="n">
        <v>597</v>
      </c>
      <c r="B142" s="80" t="inlineStr">
        <is>
          <t>TOMMY WEBSTER</t>
        </is>
      </c>
      <c r="C142" s="80" t="inlineStr">
        <is>
          <t>Activ</t>
        </is>
      </c>
      <c r="D142" s="80" t="inlineStr">
        <is>
          <t>TRAVIS WHITE</t>
        </is>
      </c>
      <c r="E142" s="80" t="inlineStr">
        <is>
          <t>KIMBERLY CLARK</t>
        </is>
      </c>
      <c r="F142" s="80" t="inlineStr">
        <is>
          <t>KIMBERLY CLARK</t>
        </is>
      </c>
      <c r="G142" s="80" t="inlineStr">
        <is>
          <t>KIMBERLY CLARK</t>
        </is>
      </c>
      <c r="H142" s="80" t="inlineStr">
        <is>
          <t>335-1</t>
        </is>
      </c>
      <c r="I142" s="111">
        <f>COUNTIF(Tower_3!G:G,'All Associates'!A142)+COUNTIF(Tower_4!G:G,'All Associates'!A142)+COUNTIF(Tower_5!G:G,'All Associates'!A142)+COUNTIF(Tower_6!G:G,'All Associates'!A142)+COUNTIF(Riviera_3!G:G,'All Associates'!A142)+COUNTIF(Riviera_4!G:G,'All Associates'!A142)+COUNTIF(Riviera_5!G:G,'All Associates'!A142)</f>
        <v/>
      </c>
      <c r="J142" s="112">
        <f>IF(I142=0,"Not Allocated",IF(I142=1,"Allocated","Duplicate"))</f>
        <v/>
      </c>
    </row>
    <row r="143" hidden="1">
      <c r="A143" s="83" t="n">
        <v>1011</v>
      </c>
      <c r="B143" s="80" t="inlineStr">
        <is>
          <t>DAVID JORDAN</t>
        </is>
      </c>
      <c r="C143" s="86" t="inlineStr">
        <is>
          <t>Activ</t>
        </is>
      </c>
      <c r="D143" s="80" t="inlineStr">
        <is>
          <t>JEREMIAH ROBLES</t>
        </is>
      </c>
      <c r="E143" s="80" t="inlineStr">
        <is>
          <t>BETH TUCKER</t>
        </is>
      </c>
      <c r="F143" s="80" t="inlineStr">
        <is>
          <t>KIMBERLY CLARK</t>
        </is>
      </c>
      <c r="G143" s="80" t="inlineStr">
        <is>
          <t>KIMBERLY CLARK</t>
        </is>
      </c>
      <c r="H143" s="80" t="inlineStr">
        <is>
          <t>156-2</t>
        </is>
      </c>
      <c r="I143" s="111">
        <f>COUNTIF(Tower_3!G:G,'All Associates'!A143)+COUNTIF(Tower_4!G:G,'All Associates'!A143)+COUNTIF(Tower_5!G:G,'All Associates'!A143)+COUNTIF(Tower_6!G:G,'All Associates'!A143)+COUNTIF(Riviera_3!G:G,'All Associates'!A143)+COUNTIF(Riviera_4!G:G,'All Associates'!A143)+COUNTIF(Riviera_5!G:G,'All Associates'!A143)</f>
        <v/>
      </c>
      <c r="J143" s="112">
        <f>IF(I143=0,"Not Allocated",IF(I143=1,"Allocated","Duplicate"))</f>
        <v/>
      </c>
    </row>
    <row r="144" hidden="1">
      <c r="A144" s="83" t="n">
        <v>995</v>
      </c>
      <c r="B144" s="80" t="inlineStr">
        <is>
          <t>PHYLLIS HAMMOND</t>
        </is>
      </c>
      <c r="C144" s="80" t="inlineStr">
        <is>
          <t>Activ</t>
        </is>
      </c>
      <c r="D144" s="80" t="inlineStr">
        <is>
          <t>PHILLIP TRAVIS</t>
        </is>
      </c>
      <c r="E144" s="80" t="inlineStr">
        <is>
          <t>KIMBERLY CLARK</t>
        </is>
      </c>
      <c r="F144" s="80" t="inlineStr">
        <is>
          <t>KIMBERLY CLARK</t>
        </is>
      </c>
      <c r="G144" s="80" t="inlineStr">
        <is>
          <t>PHILLIP TRAVIS</t>
        </is>
      </c>
      <c r="H144" s="80" t="inlineStr">
        <is>
          <t>156-1</t>
        </is>
      </c>
      <c r="I144" s="111">
        <f>COUNTIF(Tower_3!G:G,'All Associates'!A144)+COUNTIF(Tower_4!G:G,'All Associates'!A144)+COUNTIF(Tower_5!G:G,'All Associates'!A144)+COUNTIF(Tower_6!G:G,'All Associates'!A144)+COUNTIF(Riviera_3!G:G,'All Associates'!A144)+COUNTIF(Riviera_4!G:G,'All Associates'!A144)+COUNTIF(Riviera_5!G:G,'All Associates'!A144)</f>
        <v/>
      </c>
      <c r="J144" s="112">
        <f>IF(I144=0,"Not Allocated",IF(I144=1,"Allocated","Duplicate"))</f>
        <v/>
      </c>
    </row>
    <row r="145" hidden="1">
      <c r="A145" s="83" t="n">
        <v>1121</v>
      </c>
      <c r="B145" s="80" t="inlineStr">
        <is>
          <t>NICOLE SANCHEZ</t>
        </is>
      </c>
      <c r="C145" s="80" t="inlineStr">
        <is>
          <t>Activ</t>
        </is>
      </c>
      <c r="D145" s="80" t="inlineStr">
        <is>
          <t>LESLIE DIAZ</t>
        </is>
      </c>
      <c r="E145" s="80" t="inlineStr">
        <is>
          <t>ALEXANDER BAUTISTA</t>
        </is>
      </c>
      <c r="F145" s="80" t="inlineStr">
        <is>
          <t>HEATHER SOLIS</t>
        </is>
      </c>
      <c r="G145" s="80" t="inlineStr">
        <is>
          <t>HEATHER SOLIS</t>
        </is>
      </c>
      <c r="H145" s="80" t="inlineStr">
        <is>
          <t>138-1</t>
        </is>
      </c>
      <c r="I145" s="111">
        <f>COUNTIF(Tower_3!G:G,'All Associates'!A145)+COUNTIF(Tower_4!G:G,'All Associates'!A145)+COUNTIF(Tower_5!G:G,'All Associates'!A145)+COUNTIF(Tower_6!G:G,'All Associates'!A145)+COUNTIF(Riviera_3!G:G,'All Associates'!A145)+COUNTIF(Riviera_4!G:G,'All Associates'!A145)+COUNTIF(Riviera_5!G:G,'All Associates'!A145)</f>
        <v/>
      </c>
      <c r="J145" s="112">
        <f>IF(I145=0,"Not Allocated",IF(I145=1,"Allocated","Duplicate"))</f>
        <v/>
      </c>
    </row>
    <row r="146" hidden="1">
      <c r="A146" s="83" t="n">
        <v>782</v>
      </c>
      <c r="B146" s="80" t="inlineStr">
        <is>
          <t>WILLIAM OLSEN</t>
        </is>
      </c>
      <c r="C146" s="80" t="inlineStr">
        <is>
          <t>Activ</t>
        </is>
      </c>
      <c r="D146" s="80" t="inlineStr">
        <is>
          <t>MS. KAITLIN WILKINSON</t>
        </is>
      </c>
      <c r="E146" s="80" t="inlineStr">
        <is>
          <t>ALEXANDER BAUTISTA</t>
        </is>
      </c>
      <c r="F146" s="80" t="inlineStr">
        <is>
          <t>HEATHER SOLIS</t>
        </is>
      </c>
      <c r="G146" s="80" t="inlineStr">
        <is>
          <t>HEATHER SOLIS</t>
        </is>
      </c>
      <c r="H146" s="80" t="inlineStr">
        <is>
          <t>138-1</t>
        </is>
      </c>
      <c r="I146" s="111">
        <f>COUNTIF(Tower_3!G:G,'All Associates'!A146)+COUNTIF(Tower_4!G:G,'All Associates'!A146)+COUNTIF(Tower_5!G:G,'All Associates'!A146)+COUNTIF(Tower_6!G:G,'All Associates'!A146)+COUNTIF(Riviera_3!G:G,'All Associates'!A146)+COUNTIF(Riviera_4!G:G,'All Associates'!A146)+COUNTIF(Riviera_5!G:G,'All Associates'!A146)</f>
        <v/>
      </c>
      <c r="J146" s="112">
        <f>IF(I146=0,"Not Allocated",IF(I146=1,"Allocated","Duplicate"))</f>
        <v/>
      </c>
    </row>
    <row r="147" hidden="1">
      <c r="A147" s="83" t="n">
        <v>799</v>
      </c>
      <c r="B147" s="80" t="inlineStr">
        <is>
          <t>JOSHUA EVANS</t>
        </is>
      </c>
      <c r="C147" s="80" t="inlineStr">
        <is>
          <t>Activ</t>
        </is>
      </c>
      <c r="D147" s="80" t="inlineStr">
        <is>
          <t>JASMINE JONES</t>
        </is>
      </c>
      <c r="E147" s="80" t="inlineStr">
        <is>
          <t>MARISSA CROSS</t>
        </is>
      </c>
      <c r="F147" s="80" t="inlineStr">
        <is>
          <t>KIMBERLY CLARK</t>
        </is>
      </c>
      <c r="G147" s="80" t="inlineStr">
        <is>
          <t>MARISSA CROSS</t>
        </is>
      </c>
      <c r="H147" s="80" t="inlineStr">
        <is>
          <t>220-2</t>
        </is>
      </c>
      <c r="I147" s="111">
        <f>COUNTIF(Tower_3!G:G,'All Associates'!A147)+COUNTIF(Tower_4!G:G,'All Associates'!A147)+COUNTIF(Tower_5!G:G,'All Associates'!A147)+COUNTIF(Tower_6!G:G,'All Associates'!A147)+COUNTIF(Riviera_3!G:G,'All Associates'!A147)+COUNTIF(Riviera_4!G:G,'All Associates'!A147)+COUNTIF(Riviera_5!G:G,'All Associates'!A147)</f>
        <v/>
      </c>
      <c r="J147" s="112">
        <f>IF(I147=0,"Not Allocated",IF(I147=1,"Allocated","Duplicate"))</f>
        <v/>
      </c>
    </row>
    <row r="148" hidden="1">
      <c r="A148" s="83" t="n">
        <v>818</v>
      </c>
      <c r="B148" s="80" t="inlineStr">
        <is>
          <t>DEAN HUDSON</t>
        </is>
      </c>
      <c r="C148" s="80" t="inlineStr">
        <is>
          <t>Activ</t>
        </is>
      </c>
      <c r="D148" s="80" t="inlineStr">
        <is>
          <t>RONALD LEWIS</t>
        </is>
      </c>
      <c r="E148" s="80" t="inlineStr">
        <is>
          <t>ADAM SMITH</t>
        </is>
      </c>
      <c r="F148" s="80" t="inlineStr">
        <is>
          <t>PHILLIP TRAVIS</t>
        </is>
      </c>
      <c r="G148" s="80" t="inlineStr">
        <is>
          <t>PHILLIP TRAVIS</t>
        </is>
      </c>
      <c r="H148" s="80" t="inlineStr">
        <is>
          <t>156-1</t>
        </is>
      </c>
      <c r="I148" s="111">
        <f>COUNTIF(Tower_3!G:G,'All Associates'!A148)+COUNTIF(Tower_4!G:G,'All Associates'!A148)+COUNTIF(Tower_5!G:G,'All Associates'!A148)+COUNTIF(Tower_6!G:G,'All Associates'!A148)+COUNTIF(Riviera_3!G:G,'All Associates'!A148)+COUNTIF(Riviera_4!G:G,'All Associates'!A148)+COUNTIF(Riviera_5!G:G,'All Associates'!A148)</f>
        <v/>
      </c>
      <c r="J148" s="112">
        <f>IF(I148=0,"Not Allocated",IF(I148=1,"Allocated","Duplicate"))</f>
        <v/>
      </c>
    </row>
    <row r="149" hidden="1">
      <c r="A149" s="83" t="n">
        <v>1032</v>
      </c>
      <c r="B149" s="80" t="inlineStr">
        <is>
          <t>TIFFANY FITZGERALD</t>
        </is>
      </c>
      <c r="C149" s="80" t="inlineStr">
        <is>
          <t>Activ</t>
        </is>
      </c>
      <c r="D149" s="80" t="inlineStr">
        <is>
          <t>AMBER TURNER</t>
        </is>
      </c>
      <c r="E149" s="80" t="inlineStr">
        <is>
          <t>OSCAR TYLER</t>
        </is>
      </c>
      <c r="F149" s="80" t="inlineStr">
        <is>
          <t>KENNETH CONRAD</t>
        </is>
      </c>
      <c r="G149" s="80" t="inlineStr">
        <is>
          <t>KENNETH CONRAD</t>
        </is>
      </c>
      <c r="H149" s="80" t="inlineStr">
        <is>
          <t>127-1</t>
        </is>
      </c>
      <c r="I149" s="111">
        <f>COUNTIF(Tower_3!G:G,'All Associates'!A149)+COUNTIF(Tower_4!G:G,'All Associates'!A149)+COUNTIF(Tower_5!G:G,'All Associates'!A149)+COUNTIF(Tower_6!G:G,'All Associates'!A149)+COUNTIF(Riviera_3!G:G,'All Associates'!A149)+COUNTIF(Riviera_4!G:G,'All Associates'!A149)+COUNTIF(Riviera_5!G:G,'All Associates'!A149)</f>
        <v/>
      </c>
      <c r="J149" s="112">
        <f>IF(I149=0,"Not Allocated",IF(I149=1,"Allocated","Duplicate"))</f>
        <v/>
      </c>
    </row>
    <row r="150">
      <c r="A150" s="90" t="n">
        <v>713</v>
      </c>
      <c r="B150" s="91" t="inlineStr">
        <is>
          <t>BRIANNA KOCH</t>
        </is>
      </c>
      <c r="C150" s="91" t="inlineStr">
        <is>
          <t>Suspendat</t>
        </is>
      </c>
      <c r="D150" s="91" t="inlineStr">
        <is>
          <t>BRAD COOLEY</t>
        </is>
      </c>
      <c r="E150" s="91" t="inlineStr">
        <is>
          <t>MR. MICHAEL KELLY</t>
        </is>
      </c>
      <c r="F150" s="91" t="inlineStr">
        <is>
          <t>HEATHER SOLIS</t>
        </is>
      </c>
      <c r="G150" s="91" t="inlineStr">
        <is>
          <t>HEATHER SOLIS</t>
        </is>
      </c>
      <c r="H150" s="91" t="inlineStr">
        <is>
          <t>138-2</t>
        </is>
      </c>
      <c r="I150" s="111">
        <f>COUNTIF(Tower_3!G:G,'All Associates'!A150)+COUNTIF(Tower_4!G:G,'All Associates'!A150)+COUNTIF(Tower_5!G:G,'All Associates'!A150)+COUNTIF(Tower_6!G:G,'All Associates'!A150)+COUNTIF(Riviera_3!G:G,'All Associates'!A150)+COUNTIF(Riviera_4!G:G,'All Associates'!A150)+COUNTIF(Riviera_5!G:G,'All Associates'!A150)</f>
        <v/>
      </c>
      <c r="J150" s="112">
        <f>IF(I150=0,"Not Allocated",IF(I150=1,"Allocated","Duplicate"))</f>
        <v/>
      </c>
    </row>
    <row r="151" hidden="1">
      <c r="A151" s="83" t="n">
        <v>1180</v>
      </c>
      <c r="B151" s="80" t="inlineStr">
        <is>
          <t>LARRY ABBOTT</t>
        </is>
      </c>
      <c r="C151" s="80" t="inlineStr">
        <is>
          <t>Activ</t>
        </is>
      </c>
      <c r="D151" s="80" t="inlineStr">
        <is>
          <t>KIMBERLY SULLIVAN</t>
        </is>
      </c>
      <c r="E151" s="80" t="inlineStr">
        <is>
          <t>MR. MICHAEL KELLY</t>
        </is>
      </c>
      <c r="F151" s="80" t="inlineStr">
        <is>
          <t>HEATHER SOLIS</t>
        </is>
      </c>
      <c r="G151" s="80" t="inlineStr">
        <is>
          <t>HEATHER SOLIS</t>
        </is>
      </c>
      <c r="H151" s="80" t="inlineStr">
        <is>
          <t>138-2</t>
        </is>
      </c>
      <c r="I151" s="111">
        <f>COUNTIF(Tower_3!G:G,'All Associates'!A151)+COUNTIF(Tower_4!G:G,'All Associates'!A151)+COUNTIF(Tower_5!G:G,'All Associates'!A151)+COUNTIF(Tower_6!G:G,'All Associates'!A151)+COUNTIF(Riviera_3!G:G,'All Associates'!A151)+COUNTIF(Riviera_4!G:G,'All Associates'!A151)+COUNTIF(Riviera_5!G:G,'All Associates'!A151)</f>
        <v/>
      </c>
      <c r="J151" s="112">
        <f>IF(I151=0,"Not Allocated",IF(I151=1,"Allocated","Duplicate"))</f>
        <v/>
      </c>
    </row>
    <row r="152" hidden="1">
      <c r="A152" s="90" t="n">
        <v>83</v>
      </c>
      <c r="B152" s="91" t="inlineStr">
        <is>
          <t>ALEX FISCHER</t>
        </is>
      </c>
      <c r="C152" s="91" t="inlineStr">
        <is>
          <t>Suspendat</t>
        </is>
      </c>
      <c r="D152" s="91" t="inlineStr">
        <is>
          <t>MARISSA CROSS</t>
        </is>
      </c>
      <c r="E152" s="91" t="inlineStr">
        <is>
          <t>KIMBERLY CLARK</t>
        </is>
      </c>
      <c r="F152" s="91" t="inlineStr">
        <is>
          <t>KIMBERLY CLARK</t>
        </is>
      </c>
      <c r="G152" s="91" t="inlineStr">
        <is>
          <t>MARISSA CROSS</t>
        </is>
      </c>
      <c r="H152" s="91" t="inlineStr">
        <is>
          <t>220-2</t>
        </is>
      </c>
      <c r="I152" s="111">
        <f>COUNTIF(Tower_3!G:G,'All Associates'!A152)+COUNTIF(Tower_4!G:G,'All Associates'!A152)+COUNTIF(Tower_5!G:G,'All Associates'!A152)+COUNTIF(Tower_6!G:G,'All Associates'!A152)+COUNTIF(Riviera_3!G:G,'All Associates'!A152)+COUNTIF(Riviera_4!G:G,'All Associates'!A152)+COUNTIF(Riviera_5!G:G,'All Associates'!A152)</f>
        <v/>
      </c>
      <c r="J152" s="112">
        <f>IF(I152=0,"Not Allocated",IF(I152=1,"Allocated","Duplicate"))</f>
        <v/>
      </c>
    </row>
    <row r="153" hidden="1">
      <c r="A153" s="83" t="n">
        <v>685</v>
      </c>
      <c r="B153" s="80" t="inlineStr">
        <is>
          <t>TINA LEE</t>
        </is>
      </c>
      <c r="C153" s="80" t="inlineStr">
        <is>
          <t>Activ</t>
        </is>
      </c>
      <c r="D153" s="80" t="inlineStr">
        <is>
          <t>HOLLY WALKER</t>
        </is>
      </c>
      <c r="E153" s="80" t="inlineStr">
        <is>
          <t>DOROTHY MARSHALL</t>
        </is>
      </c>
      <c r="F153" s="80" t="inlineStr">
        <is>
          <t>KIMBERLY CLARK</t>
        </is>
      </c>
      <c r="G153" s="80" t="inlineStr">
        <is>
          <t>KIMBERLY CLARK</t>
        </is>
      </c>
      <c r="H153" s="80" t="inlineStr">
        <is>
          <t>230-1</t>
        </is>
      </c>
      <c r="I153" s="111">
        <f>COUNTIF(Tower_3!G:G,'All Associates'!A153)+COUNTIF(Tower_4!G:G,'All Associates'!A153)+COUNTIF(Tower_5!G:G,'All Associates'!A153)+COUNTIF(Tower_6!G:G,'All Associates'!A153)+COUNTIF(Riviera_3!G:G,'All Associates'!A153)+COUNTIF(Riviera_4!G:G,'All Associates'!A153)+COUNTIF(Riviera_5!G:G,'All Associates'!A153)</f>
        <v/>
      </c>
      <c r="J153" s="112">
        <f>IF(I153=0,"Not Allocated",IF(I153=1,"Allocated","Duplicate"))</f>
        <v/>
      </c>
    </row>
    <row r="154" hidden="1">
      <c r="A154" s="83" t="n">
        <v>855</v>
      </c>
      <c r="B154" s="80" t="inlineStr">
        <is>
          <t>PAIGE JOHNS</t>
        </is>
      </c>
      <c r="C154" s="80" t="inlineStr">
        <is>
          <t>Activ</t>
        </is>
      </c>
      <c r="D154" s="80" t="inlineStr">
        <is>
          <t>NATHAN MURRAY</t>
        </is>
      </c>
      <c r="E154" s="80" t="inlineStr">
        <is>
          <t>CHARLES POWELL</t>
        </is>
      </c>
      <c r="F154" s="80" t="inlineStr">
        <is>
          <t>KIMBERLY CLARK</t>
        </is>
      </c>
      <c r="G154" s="80" t="inlineStr">
        <is>
          <t>CHARLES POWELL</t>
        </is>
      </c>
      <c r="H154" s="80" t="inlineStr">
        <is>
          <t>138-3</t>
        </is>
      </c>
      <c r="I154" s="111">
        <f>COUNTIF(Tower_3!G:G,'All Associates'!A154)+COUNTIF(Tower_4!G:G,'All Associates'!A154)+COUNTIF(Tower_5!G:G,'All Associates'!A154)+COUNTIF(Tower_6!G:G,'All Associates'!A154)+COUNTIF(Riviera_3!G:G,'All Associates'!A154)+COUNTIF(Riviera_4!G:G,'All Associates'!A154)+COUNTIF(Riviera_5!G:G,'All Associates'!A154)</f>
        <v/>
      </c>
      <c r="J154" s="112">
        <f>IF(I154=0,"Not Allocated",IF(I154=1,"Allocated","Duplicate"))</f>
        <v/>
      </c>
    </row>
    <row r="155" hidden="1">
      <c r="A155" s="83" t="n">
        <v>51</v>
      </c>
      <c r="B155" s="80" t="inlineStr">
        <is>
          <t>THOMAS SMITH</t>
        </is>
      </c>
      <c r="C155" s="80" t="inlineStr">
        <is>
          <t>Activ</t>
        </is>
      </c>
      <c r="D155" s="80" t="inlineStr">
        <is>
          <t>HEATHER SOLIS</t>
        </is>
      </c>
      <c r="E155" s="80" t="inlineStr">
        <is>
          <t>KIMBERLY CLARK</t>
        </is>
      </c>
      <c r="F155" s="80" t="inlineStr">
        <is>
          <t>KIMBERLY CLARK</t>
        </is>
      </c>
      <c r="G155" s="80" t="inlineStr">
        <is>
          <t>HEATHER SOLIS</t>
        </is>
      </c>
      <c r="H155" s="80" t="inlineStr">
        <is>
          <t>138-2</t>
        </is>
      </c>
      <c r="I155" s="111">
        <f>COUNTIF(Tower_3!G:G,'All Associates'!A155)+COUNTIF(Tower_4!G:G,'All Associates'!A155)+COUNTIF(Tower_5!G:G,'All Associates'!A155)+COUNTIF(Tower_6!G:G,'All Associates'!A155)+COUNTIF(Riviera_3!G:G,'All Associates'!A155)+COUNTIF(Riviera_4!G:G,'All Associates'!A155)+COUNTIF(Riviera_5!G:G,'All Associates'!A155)</f>
        <v/>
      </c>
      <c r="J155" s="112">
        <f>IF(I155=0,"Not Allocated",IF(I155=1,"Allocated","Duplicate"))</f>
        <v/>
      </c>
    </row>
    <row r="156" hidden="1">
      <c r="A156" s="83" t="n">
        <v>1140</v>
      </c>
      <c r="B156" s="80" t="inlineStr">
        <is>
          <t>STACEY RIVERA</t>
        </is>
      </c>
      <c r="C156" s="80" t="inlineStr">
        <is>
          <t>Activ</t>
        </is>
      </c>
      <c r="D156" s="80" t="inlineStr">
        <is>
          <t>ADRIAN WILLIAMS</t>
        </is>
      </c>
      <c r="E156" s="80" t="inlineStr">
        <is>
          <t>STEPHANIE HARVEY</t>
        </is>
      </c>
      <c r="F156" s="80" t="inlineStr">
        <is>
          <t>NATHAN HAMILTON</t>
        </is>
      </c>
      <c r="G156" s="80" t="inlineStr">
        <is>
          <t>NATHAN HAMILTON</t>
        </is>
      </c>
      <c r="H156" s="80" t="inlineStr">
        <is>
          <t>221-1</t>
        </is>
      </c>
      <c r="I156" s="111">
        <f>COUNTIF(Tower_3!G:G,'All Associates'!A156)+COUNTIF(Tower_4!G:G,'All Associates'!A156)+COUNTIF(Tower_5!G:G,'All Associates'!A156)+COUNTIF(Tower_6!G:G,'All Associates'!A156)+COUNTIF(Riviera_3!G:G,'All Associates'!A156)+COUNTIF(Riviera_4!G:G,'All Associates'!A156)+COUNTIF(Riviera_5!G:G,'All Associates'!A156)</f>
        <v/>
      </c>
      <c r="J156" s="112">
        <f>IF(I156=0,"Not Allocated",IF(I156=1,"Allocated","Duplicate"))</f>
        <v/>
      </c>
    </row>
    <row r="157" hidden="1">
      <c r="A157" s="83" t="n">
        <v>920</v>
      </c>
      <c r="B157" s="80" t="inlineStr">
        <is>
          <t>LOUIS ROBERTS</t>
        </is>
      </c>
      <c r="C157" s="80" t="inlineStr">
        <is>
          <t>Activ</t>
        </is>
      </c>
      <c r="D157" s="80" t="inlineStr">
        <is>
          <t>KAREN HENDERSON</t>
        </is>
      </c>
      <c r="E157" s="80" t="inlineStr">
        <is>
          <t>BETH TUCKER</t>
        </is>
      </c>
      <c r="F157" s="80" t="inlineStr">
        <is>
          <t>KIMBERLY CLARK</t>
        </is>
      </c>
      <c r="G157" s="80" t="inlineStr">
        <is>
          <t>KIMBERLY CLARK</t>
        </is>
      </c>
      <c r="H157" s="80" t="inlineStr">
        <is>
          <t>156-2</t>
        </is>
      </c>
      <c r="I157" s="111">
        <f>COUNTIF(Tower_3!G:G,'All Associates'!A157)+COUNTIF(Tower_4!G:G,'All Associates'!A157)+COUNTIF(Tower_5!G:G,'All Associates'!A157)+COUNTIF(Tower_6!G:G,'All Associates'!A157)+COUNTIF(Riviera_3!G:G,'All Associates'!A157)+COUNTIF(Riviera_4!G:G,'All Associates'!A157)+COUNTIF(Riviera_5!G:G,'All Associates'!A157)</f>
        <v/>
      </c>
      <c r="J157" s="112">
        <f>IF(I157=0,"Not Allocated",IF(I157=1,"Allocated","Duplicate"))</f>
        <v/>
      </c>
    </row>
    <row r="158" hidden="1">
      <c r="A158" s="83" t="n">
        <v>214</v>
      </c>
      <c r="B158" s="80" t="inlineStr">
        <is>
          <t>JENNIFER GOMEZ</t>
        </is>
      </c>
      <c r="C158" s="80" t="inlineStr">
        <is>
          <t>Activ</t>
        </is>
      </c>
      <c r="D158" s="80" t="inlineStr">
        <is>
          <t>JENNY HOWARD</t>
        </is>
      </c>
      <c r="E158" s="80" t="inlineStr">
        <is>
          <t>CHARLES POWELL</t>
        </is>
      </c>
      <c r="F158" s="80" t="inlineStr">
        <is>
          <t>KIMBERLY CLARK</t>
        </is>
      </c>
      <c r="G158" s="80" t="inlineStr">
        <is>
          <t>CHARLES POWELL</t>
        </is>
      </c>
      <c r="H158" s="80" t="inlineStr">
        <is>
          <t>138-3</t>
        </is>
      </c>
      <c r="I158" s="111">
        <f>COUNTIF(Tower_3!G:G,'All Associates'!A158)+COUNTIF(Tower_4!G:G,'All Associates'!A158)+COUNTIF(Tower_5!G:G,'All Associates'!A158)+COUNTIF(Tower_6!G:G,'All Associates'!A158)+COUNTIF(Riviera_3!G:G,'All Associates'!A158)+COUNTIF(Riviera_4!G:G,'All Associates'!A158)+COUNTIF(Riviera_5!G:G,'All Associates'!A158)</f>
        <v/>
      </c>
      <c r="J158" s="112">
        <f>IF(I158=0,"Not Allocated",IF(I158=1,"Allocated","Duplicate"))</f>
        <v/>
      </c>
    </row>
    <row r="159" hidden="1">
      <c r="A159" s="83" t="n">
        <v>923</v>
      </c>
      <c r="B159" s="80" t="inlineStr">
        <is>
          <t>SAMANTHA DAVIS</t>
        </is>
      </c>
      <c r="C159" s="80" t="inlineStr">
        <is>
          <t>Activ</t>
        </is>
      </c>
      <c r="D159" s="80" t="inlineStr">
        <is>
          <t>TIFFANY WARD</t>
        </is>
      </c>
      <c r="E159" s="80" t="inlineStr">
        <is>
          <t>CHELSEA CAMPBELL</t>
        </is>
      </c>
      <c r="F159" s="80" t="inlineStr">
        <is>
          <t>KENNETH CONRAD</t>
        </is>
      </c>
      <c r="G159" s="80" t="inlineStr">
        <is>
          <t>KENNETH CONRAD</t>
        </is>
      </c>
      <c r="H159" s="80" t="inlineStr">
        <is>
          <t>133-1</t>
        </is>
      </c>
      <c r="I159" s="111">
        <f>COUNTIF(Tower_3!G:G,'All Associates'!A159)+COUNTIF(Tower_4!G:G,'All Associates'!A159)+COUNTIF(Tower_5!G:G,'All Associates'!A159)+COUNTIF(Tower_6!G:G,'All Associates'!A159)+COUNTIF(Riviera_3!G:G,'All Associates'!A159)+COUNTIF(Riviera_4!G:G,'All Associates'!A159)+COUNTIF(Riviera_5!G:G,'All Associates'!A159)</f>
        <v/>
      </c>
      <c r="J159" s="112">
        <f>IF(I159=0,"Not Allocated",IF(I159=1,"Allocated","Duplicate"))</f>
        <v/>
      </c>
    </row>
    <row r="160" hidden="1">
      <c r="A160" s="83" t="n">
        <v>170</v>
      </c>
      <c r="B160" s="80" t="inlineStr">
        <is>
          <t>MICHELE LOPEZ</t>
        </is>
      </c>
      <c r="C160" s="80" t="inlineStr">
        <is>
          <t>Activ</t>
        </is>
      </c>
      <c r="D160" s="80" t="inlineStr">
        <is>
          <t>MARISSA CROSS</t>
        </is>
      </c>
      <c r="E160" s="80" t="inlineStr">
        <is>
          <t>KIMBERLY CLARK</t>
        </is>
      </c>
      <c r="F160" s="80" t="inlineStr">
        <is>
          <t>KIMBERLY CLARK</t>
        </is>
      </c>
      <c r="G160" s="80" t="inlineStr">
        <is>
          <t>MARISSA CROSS</t>
        </is>
      </c>
      <c r="H160" s="80" t="inlineStr">
        <is>
          <t>220-2</t>
        </is>
      </c>
      <c r="I160" s="111">
        <f>COUNTIF(Tower_3!G:G,'All Associates'!A160)+COUNTIF(Tower_4!G:G,'All Associates'!A160)+COUNTIF(Tower_5!G:G,'All Associates'!A160)+COUNTIF(Tower_6!G:G,'All Associates'!A160)+COUNTIF(Riviera_3!G:G,'All Associates'!A160)+COUNTIF(Riviera_4!G:G,'All Associates'!A160)+COUNTIF(Riviera_5!G:G,'All Associates'!A160)</f>
        <v/>
      </c>
      <c r="J160" s="112">
        <f>IF(I160=0,"Not Allocated",IF(I160=1,"Allocated","Duplicate"))</f>
        <v/>
      </c>
    </row>
    <row r="161" hidden="1">
      <c r="A161" s="83" t="n">
        <v>437</v>
      </c>
      <c r="B161" s="80" t="inlineStr">
        <is>
          <t>KATHLEEN FORD</t>
        </is>
      </c>
      <c r="C161" s="80" t="inlineStr">
        <is>
          <t>Activ</t>
        </is>
      </c>
      <c r="D161" s="80" t="inlineStr">
        <is>
          <t>TIMOTHY WELCH</t>
        </is>
      </c>
      <c r="E161" s="80" t="inlineStr">
        <is>
          <t>CHAD PEREZ</t>
        </is>
      </c>
      <c r="F161" s="80" t="inlineStr">
        <is>
          <t>MARISSA CROSS</t>
        </is>
      </c>
      <c r="G161" s="80" t="inlineStr">
        <is>
          <t>MARISSA CROSS</t>
        </is>
      </c>
      <c r="H161" s="80" t="inlineStr">
        <is>
          <t>220-2</t>
        </is>
      </c>
      <c r="I161" s="111">
        <f>COUNTIF(Tower_3!G:G,'All Associates'!A161)+COUNTIF(Tower_4!G:G,'All Associates'!A161)+COUNTIF(Tower_5!G:G,'All Associates'!A161)+COUNTIF(Tower_6!G:G,'All Associates'!A161)+COUNTIF(Riviera_3!G:G,'All Associates'!A161)+COUNTIF(Riviera_4!G:G,'All Associates'!A161)+COUNTIF(Riviera_5!G:G,'All Associates'!A161)</f>
        <v/>
      </c>
      <c r="J161" s="112">
        <f>IF(I161=0,"Not Allocated",IF(I161=1,"Allocated","Duplicate"))</f>
        <v/>
      </c>
    </row>
    <row r="162" hidden="1">
      <c r="A162" s="83" t="n">
        <v>431</v>
      </c>
      <c r="B162" s="80" t="inlineStr">
        <is>
          <t>ROBERT HARRIS</t>
        </is>
      </c>
      <c r="C162" s="80" t="inlineStr">
        <is>
          <t>Activ</t>
        </is>
      </c>
      <c r="D162" s="80" t="inlineStr">
        <is>
          <t>CHAD PEREZ</t>
        </is>
      </c>
      <c r="E162" s="80" t="inlineStr">
        <is>
          <t>MARISSA CROSS</t>
        </is>
      </c>
      <c r="F162" s="80" t="inlineStr">
        <is>
          <t>KIMBERLY CLARK</t>
        </is>
      </c>
      <c r="G162" s="80" t="inlineStr">
        <is>
          <t>MARISSA CROSS</t>
        </is>
      </c>
      <c r="H162" s="80" t="inlineStr">
        <is>
          <t>220-2</t>
        </is>
      </c>
      <c r="I162" s="111">
        <f>COUNTIF(Tower_3!G:G,'All Associates'!A162)+COUNTIF(Tower_4!G:G,'All Associates'!A162)+COUNTIF(Tower_5!G:G,'All Associates'!A162)+COUNTIF(Tower_6!G:G,'All Associates'!A162)+COUNTIF(Riviera_3!G:G,'All Associates'!A162)+COUNTIF(Riviera_4!G:G,'All Associates'!A162)+COUNTIF(Riviera_5!G:G,'All Associates'!A162)</f>
        <v/>
      </c>
      <c r="J162" s="112">
        <f>IF(I162=0,"Not Allocated",IF(I162=1,"Allocated","Duplicate"))</f>
        <v/>
      </c>
    </row>
    <row r="163" hidden="1">
      <c r="A163" s="83" t="n">
        <v>847</v>
      </c>
      <c r="B163" s="80" t="inlineStr">
        <is>
          <t>WILLIAM JIMENEZ</t>
        </is>
      </c>
      <c r="C163" s="80" t="inlineStr">
        <is>
          <t>Activ</t>
        </is>
      </c>
      <c r="D163" s="80" t="inlineStr">
        <is>
          <t>CRYSTAL HOLLAND</t>
        </is>
      </c>
      <c r="E163" s="80" t="inlineStr">
        <is>
          <t>ALEXANDER MILLER</t>
        </is>
      </c>
      <c r="F163" s="80" t="inlineStr">
        <is>
          <t>KIMBERLY CLARK</t>
        </is>
      </c>
      <c r="G163" s="80" t="inlineStr">
        <is>
          <t>ALEXANDER MILLER</t>
        </is>
      </c>
      <c r="H163" s="80" t="inlineStr">
        <is>
          <t>135-1</t>
        </is>
      </c>
      <c r="I163" s="111">
        <f>COUNTIF(Tower_3!G:G,'All Associates'!A163)+COUNTIF(Tower_4!G:G,'All Associates'!A163)+COUNTIF(Tower_5!G:G,'All Associates'!A163)+COUNTIF(Tower_6!G:G,'All Associates'!A163)+COUNTIF(Riviera_3!G:G,'All Associates'!A163)+COUNTIF(Riviera_4!G:G,'All Associates'!A163)+COUNTIF(Riviera_5!G:G,'All Associates'!A163)</f>
        <v/>
      </c>
      <c r="J163" s="112">
        <f>IF(I163=0,"Not Allocated",IF(I163=1,"Allocated","Duplicate"))</f>
        <v/>
      </c>
    </row>
    <row r="164" hidden="1">
      <c r="A164" s="83" t="n">
        <v>986</v>
      </c>
      <c r="B164" s="80" t="inlineStr">
        <is>
          <t>TIMOTHY HILL</t>
        </is>
      </c>
      <c r="C164" s="80" t="inlineStr">
        <is>
          <t>Activ</t>
        </is>
      </c>
      <c r="D164" s="80" t="inlineStr">
        <is>
          <t>MS. KAITLIN WILKINSON</t>
        </is>
      </c>
      <c r="E164" s="80" t="inlineStr">
        <is>
          <t>ALEXANDER BAUTISTA</t>
        </is>
      </c>
      <c r="F164" s="80" t="inlineStr">
        <is>
          <t>HEATHER SOLIS</t>
        </is>
      </c>
      <c r="G164" s="80" t="inlineStr">
        <is>
          <t>HEATHER SOLIS</t>
        </is>
      </c>
      <c r="H164" s="80" t="inlineStr">
        <is>
          <t>138-1</t>
        </is>
      </c>
      <c r="I164" s="111">
        <f>COUNTIF(Tower_3!G:G,'All Associates'!A164)+COUNTIF(Tower_4!G:G,'All Associates'!A164)+COUNTIF(Tower_5!G:G,'All Associates'!A164)+COUNTIF(Tower_6!G:G,'All Associates'!A164)+COUNTIF(Riviera_3!G:G,'All Associates'!A164)+COUNTIF(Riviera_4!G:G,'All Associates'!A164)+COUNTIF(Riviera_5!G:G,'All Associates'!A164)</f>
        <v/>
      </c>
      <c r="J164" s="112">
        <f>IF(I164=0,"Not Allocated",IF(I164=1,"Allocated","Duplicate"))</f>
        <v/>
      </c>
    </row>
    <row r="165" hidden="1">
      <c r="A165" s="83" t="n">
        <v>942</v>
      </c>
      <c r="B165" s="80" t="inlineStr">
        <is>
          <t>DANIELLE HENRY</t>
        </is>
      </c>
      <c r="C165" s="80" t="inlineStr">
        <is>
          <t>Activ</t>
        </is>
      </c>
      <c r="D165" s="80" t="inlineStr">
        <is>
          <t>CHELSEA CAMPBELL</t>
        </is>
      </c>
      <c r="E165" s="80" t="inlineStr">
        <is>
          <t>KENNETH CONRAD</t>
        </is>
      </c>
      <c r="F165" s="80" t="inlineStr">
        <is>
          <t>KIMBERLY CLARK</t>
        </is>
      </c>
      <c r="G165" s="80" t="inlineStr">
        <is>
          <t>KENNETH CONRAD</t>
        </is>
      </c>
      <c r="H165" s="80" t="inlineStr">
        <is>
          <t>133-1</t>
        </is>
      </c>
      <c r="I165" s="111">
        <f>COUNTIF(Tower_3!G:G,'All Associates'!A165)+COUNTIF(Tower_4!G:G,'All Associates'!A165)+COUNTIF(Tower_5!G:G,'All Associates'!A165)+COUNTIF(Tower_6!G:G,'All Associates'!A165)+COUNTIF(Riviera_3!G:G,'All Associates'!A165)+COUNTIF(Riviera_4!G:G,'All Associates'!A165)+COUNTIF(Riviera_5!G:G,'All Associates'!A165)</f>
        <v/>
      </c>
      <c r="J165" s="112">
        <f>IF(I165=0,"Not Allocated",IF(I165=1,"Allocated","Duplicate"))</f>
        <v/>
      </c>
    </row>
    <row r="166" hidden="1">
      <c r="A166" s="83" t="n">
        <v>623</v>
      </c>
      <c r="B166" s="80" t="inlineStr">
        <is>
          <t>VALERIE WALTERS</t>
        </is>
      </c>
      <c r="C166" s="80" t="inlineStr">
        <is>
          <t>Activ</t>
        </is>
      </c>
      <c r="D166" s="80" t="inlineStr">
        <is>
          <t>ALLISON JACKSON</t>
        </is>
      </c>
      <c r="E166" s="80" t="inlineStr">
        <is>
          <t>ALEXANDER MILLER</t>
        </is>
      </c>
      <c r="F166" s="80" t="inlineStr">
        <is>
          <t>KIMBERLY CLARK</t>
        </is>
      </c>
      <c r="G166" s="80" t="inlineStr">
        <is>
          <t>ALEXANDER MILLER</t>
        </is>
      </c>
      <c r="H166" s="80" t="inlineStr">
        <is>
          <t>135-1</t>
        </is>
      </c>
      <c r="I166" s="111">
        <f>COUNTIF(Tower_3!G:G,'All Associates'!A166)+COUNTIF(Tower_4!G:G,'All Associates'!A166)+COUNTIF(Tower_5!G:G,'All Associates'!A166)+COUNTIF(Tower_6!G:G,'All Associates'!A166)+COUNTIF(Riviera_3!G:G,'All Associates'!A166)+COUNTIF(Riviera_4!G:G,'All Associates'!A166)+COUNTIF(Riviera_5!G:G,'All Associates'!A166)</f>
        <v/>
      </c>
      <c r="J166" s="112">
        <f>IF(I166=0,"Not Allocated",IF(I166=1,"Allocated","Duplicate"))</f>
        <v/>
      </c>
    </row>
    <row r="167" hidden="1">
      <c r="A167" s="83" t="n">
        <v>1174</v>
      </c>
      <c r="B167" s="80" t="inlineStr">
        <is>
          <t>JOHN CUEVAS</t>
        </is>
      </c>
      <c r="C167" s="80" t="inlineStr">
        <is>
          <t>Activ</t>
        </is>
      </c>
      <c r="D167" s="80" t="inlineStr">
        <is>
          <t>LYDIA JACKSON</t>
        </is>
      </c>
      <c r="E167" s="80" t="inlineStr">
        <is>
          <t>HEATHER SOLIS</t>
        </is>
      </c>
      <c r="F167" s="80" t="inlineStr">
        <is>
          <t>KIMBERLY CLARK</t>
        </is>
      </c>
      <c r="G167" s="80" t="inlineStr">
        <is>
          <t>HEATHER SOLIS</t>
        </is>
      </c>
      <c r="H167" s="80" t="inlineStr">
        <is>
          <t>138-1</t>
        </is>
      </c>
      <c r="I167" s="111">
        <f>COUNTIF(Tower_3!G:G,'All Associates'!A167)+COUNTIF(Tower_4!G:G,'All Associates'!A167)+COUNTIF(Tower_5!G:G,'All Associates'!A167)+COUNTIF(Tower_6!G:G,'All Associates'!A167)+COUNTIF(Riviera_3!G:G,'All Associates'!A167)+COUNTIF(Riviera_4!G:G,'All Associates'!A167)+COUNTIF(Riviera_5!G:G,'All Associates'!A167)</f>
        <v/>
      </c>
      <c r="J167" s="112">
        <f>IF(I167=0,"Not Allocated",IF(I167=1,"Allocated","Duplicate"))</f>
        <v/>
      </c>
    </row>
    <row r="168" hidden="1">
      <c r="A168" s="83" t="n">
        <v>657</v>
      </c>
      <c r="B168" s="80" t="inlineStr">
        <is>
          <t>CYNTHIA CASTRO</t>
        </is>
      </c>
      <c r="C168" s="80" t="inlineStr">
        <is>
          <t>Activ</t>
        </is>
      </c>
      <c r="D168" s="80" t="inlineStr">
        <is>
          <t>RONALD LEWIS</t>
        </is>
      </c>
      <c r="E168" s="80" t="inlineStr">
        <is>
          <t>ADAM SMITH</t>
        </is>
      </c>
      <c r="F168" s="80" t="inlineStr">
        <is>
          <t>PHILLIP TRAVIS</t>
        </is>
      </c>
      <c r="G168" s="80" t="inlineStr">
        <is>
          <t>PHILLIP TRAVIS</t>
        </is>
      </c>
      <c r="H168" s="80" t="inlineStr">
        <is>
          <t>156-1</t>
        </is>
      </c>
      <c r="I168" s="111">
        <f>COUNTIF(Tower_3!G:G,'All Associates'!A168)+COUNTIF(Tower_4!G:G,'All Associates'!A168)+COUNTIF(Tower_5!G:G,'All Associates'!A168)+COUNTIF(Tower_6!G:G,'All Associates'!A168)+COUNTIF(Riviera_3!G:G,'All Associates'!A168)+COUNTIF(Riviera_4!G:G,'All Associates'!A168)+COUNTIF(Riviera_5!G:G,'All Associates'!A168)</f>
        <v/>
      </c>
      <c r="J168" s="112">
        <f>IF(I168=0,"Not Allocated",IF(I168=1,"Allocated","Duplicate"))</f>
        <v/>
      </c>
    </row>
    <row r="169" hidden="1">
      <c r="A169" s="83" t="n">
        <v>1144</v>
      </c>
      <c r="B169" s="80" t="inlineStr">
        <is>
          <t>BRANDON BLACKBURN</t>
        </is>
      </c>
      <c r="C169" s="80" t="inlineStr">
        <is>
          <t>Activ</t>
        </is>
      </c>
      <c r="D169" s="80" t="inlineStr">
        <is>
          <t>LINDA DONOVAN</t>
        </is>
      </c>
      <c r="E169" s="80" t="inlineStr">
        <is>
          <t>REBECCA VAUGHN</t>
        </is>
      </c>
      <c r="F169" s="80" t="inlineStr">
        <is>
          <t>MR. MICHAEL KELLY</t>
        </is>
      </c>
      <c r="G169" s="80" t="inlineStr">
        <is>
          <t>HEATHER SOLIS</t>
        </is>
      </c>
      <c r="H169" s="80" t="inlineStr">
        <is>
          <t>138-2</t>
        </is>
      </c>
      <c r="I169" s="111">
        <f>COUNTIF(Tower_3!G:G,'All Associates'!A169)+COUNTIF(Tower_4!G:G,'All Associates'!A169)+COUNTIF(Tower_5!G:G,'All Associates'!A169)+COUNTIF(Tower_6!G:G,'All Associates'!A169)+COUNTIF(Riviera_3!G:G,'All Associates'!A169)+COUNTIF(Riviera_4!G:G,'All Associates'!A169)+COUNTIF(Riviera_5!G:G,'All Associates'!A169)</f>
        <v/>
      </c>
      <c r="J169" s="112">
        <f>IF(I169=0,"Not Allocated",IF(I169=1,"Allocated","Duplicate"))</f>
        <v/>
      </c>
    </row>
    <row r="170">
      <c r="A170" s="84" t="n">
        <v>255</v>
      </c>
      <c r="B170" s="81" t="inlineStr">
        <is>
          <t>JAMIE SMITH</t>
        </is>
      </c>
      <c r="C170" s="81" t="inlineStr">
        <is>
          <t>Activ</t>
        </is>
      </c>
      <c r="D170" s="81" t="inlineStr">
        <is>
          <t>KIMBERLY CLARK</t>
        </is>
      </c>
      <c r="E170" s="81" t="inlineStr">
        <is>
          <t>KIMBERLY CLARK</t>
        </is>
      </c>
      <c r="F170" s="81" t="inlineStr">
        <is>
          <t>KIMBERLY CLARK</t>
        </is>
      </c>
      <c r="G170" s="81" t="inlineStr">
        <is>
          <t>KIMBERLY CLARK</t>
        </is>
      </c>
      <c r="H170" s="81" t="inlineStr">
        <is>
          <t>411-1</t>
        </is>
      </c>
      <c r="I170" s="111">
        <f>COUNTIF(Tower_3!G:G,'All Associates'!A170)+COUNTIF(Tower_4!G:G,'All Associates'!A170)+COUNTIF(Tower_5!G:G,'All Associates'!A170)+COUNTIF(Tower_6!G:G,'All Associates'!A170)+COUNTIF(Riviera_3!G:G,'All Associates'!A170)+COUNTIF(Riviera_4!G:G,'All Associates'!A170)+COUNTIF(Riviera_5!G:G,'All Associates'!A170)</f>
        <v/>
      </c>
      <c r="J170" s="112">
        <f>IF(I170=0,"Not Allocated",IF(I170=1,"Allocated","Duplicate"))</f>
        <v/>
      </c>
    </row>
    <row r="171" hidden="1">
      <c r="A171" s="83" t="n">
        <v>283</v>
      </c>
      <c r="B171" s="80" t="inlineStr">
        <is>
          <t>JAMES DAVIS</t>
        </is>
      </c>
      <c r="C171" s="80" t="inlineStr">
        <is>
          <t>Activ</t>
        </is>
      </c>
      <c r="D171" s="80" t="inlineStr">
        <is>
          <t>KENNETH CONRAD</t>
        </is>
      </c>
      <c r="E171" s="80" t="inlineStr">
        <is>
          <t>KIMBERLY CLARK</t>
        </is>
      </c>
      <c r="F171" s="80" t="inlineStr">
        <is>
          <t>KIMBERLY CLARK</t>
        </is>
      </c>
      <c r="G171" s="80" t="inlineStr">
        <is>
          <t>KENNETH CONRAD</t>
        </is>
      </c>
      <c r="H171" s="80" t="inlineStr">
        <is>
          <t>127-1</t>
        </is>
      </c>
      <c r="I171" s="111">
        <f>COUNTIF(Tower_3!G:G,'All Associates'!A171)+COUNTIF(Tower_4!G:G,'All Associates'!A171)+COUNTIF(Tower_5!G:G,'All Associates'!A171)+COUNTIF(Tower_6!G:G,'All Associates'!A171)+COUNTIF(Riviera_3!G:G,'All Associates'!A171)+COUNTIF(Riviera_4!G:G,'All Associates'!A171)+COUNTIF(Riviera_5!G:G,'All Associates'!A171)</f>
        <v/>
      </c>
      <c r="J171" s="112">
        <f>IF(I171=0,"Not Allocated",IF(I171=1,"Allocated","Duplicate"))</f>
        <v/>
      </c>
    </row>
    <row r="172" hidden="1">
      <c r="A172" s="83" t="n">
        <v>689</v>
      </c>
      <c r="B172" s="80" t="inlineStr">
        <is>
          <t>CHRISTOPHER JOSEPH</t>
        </is>
      </c>
      <c r="C172" s="80" t="inlineStr">
        <is>
          <t>Activ</t>
        </is>
      </c>
      <c r="D172" s="80" t="inlineStr">
        <is>
          <t>GARRETT PARKER</t>
        </is>
      </c>
      <c r="E172" s="80" t="inlineStr">
        <is>
          <t>ASHLEY FRENCH</t>
        </is>
      </c>
      <c r="F172" s="80" t="inlineStr">
        <is>
          <t>PHILLIP TRAVIS</t>
        </is>
      </c>
      <c r="G172" s="80" t="inlineStr">
        <is>
          <t>PHILLIP TRAVIS</t>
        </is>
      </c>
      <c r="H172" s="80" t="inlineStr">
        <is>
          <t>156-1</t>
        </is>
      </c>
      <c r="I172" s="111">
        <f>COUNTIF(Tower_3!G:G,'All Associates'!A172)+COUNTIF(Tower_4!G:G,'All Associates'!A172)+COUNTIF(Tower_5!G:G,'All Associates'!A172)+COUNTIF(Tower_6!G:G,'All Associates'!A172)+COUNTIF(Riviera_3!G:G,'All Associates'!A172)+COUNTIF(Riviera_4!G:G,'All Associates'!A172)+COUNTIF(Riviera_5!G:G,'All Associates'!A172)</f>
        <v/>
      </c>
      <c r="J172" s="112">
        <f>IF(I172=0,"Not Allocated",IF(I172=1,"Allocated","Duplicate"))</f>
        <v/>
      </c>
    </row>
    <row r="173" hidden="1">
      <c r="A173" s="83" t="n">
        <v>1052</v>
      </c>
      <c r="B173" s="80" t="inlineStr">
        <is>
          <t>ELIZABETH ALLEN</t>
        </is>
      </c>
      <c r="C173" s="80" t="inlineStr">
        <is>
          <t>Activ</t>
        </is>
      </c>
      <c r="D173" s="80" t="inlineStr">
        <is>
          <t>CRYSTAL HOLLAND</t>
        </is>
      </c>
      <c r="E173" s="80" t="inlineStr">
        <is>
          <t>ALEXANDER MILLER</t>
        </is>
      </c>
      <c r="F173" s="80" t="inlineStr">
        <is>
          <t>KIMBERLY CLARK</t>
        </is>
      </c>
      <c r="G173" s="80" t="inlineStr">
        <is>
          <t>ALEXANDER MILLER</t>
        </is>
      </c>
      <c r="H173" s="80" t="inlineStr">
        <is>
          <t>135-1</t>
        </is>
      </c>
      <c r="I173" s="111">
        <f>COUNTIF(Tower_3!G:G,'All Associates'!A173)+COUNTIF(Tower_4!G:G,'All Associates'!A173)+COUNTIF(Tower_5!G:G,'All Associates'!A173)+COUNTIF(Tower_6!G:G,'All Associates'!A173)+COUNTIF(Riviera_3!G:G,'All Associates'!A173)+COUNTIF(Riviera_4!G:G,'All Associates'!A173)+COUNTIF(Riviera_5!G:G,'All Associates'!A173)</f>
        <v/>
      </c>
      <c r="J173" s="112">
        <f>IF(I173=0,"Not Allocated",IF(I173=1,"Allocated","Duplicate"))</f>
        <v/>
      </c>
    </row>
    <row r="174" hidden="1">
      <c r="A174" s="83" t="n">
        <v>950</v>
      </c>
      <c r="B174" s="80" t="inlineStr">
        <is>
          <t>MISS DONNA PIERCE DDS</t>
        </is>
      </c>
      <c r="C174" s="80" t="inlineStr">
        <is>
          <t>Activ</t>
        </is>
      </c>
      <c r="D174" s="80" t="inlineStr">
        <is>
          <t>AMBER TURNER</t>
        </is>
      </c>
      <c r="E174" s="80" t="inlineStr">
        <is>
          <t>OSCAR TYLER</t>
        </is>
      </c>
      <c r="F174" s="80" t="inlineStr">
        <is>
          <t>KENNETH CONRAD</t>
        </is>
      </c>
      <c r="G174" s="80" t="inlineStr">
        <is>
          <t>KENNETH CONRAD</t>
        </is>
      </c>
      <c r="H174" s="80" t="inlineStr">
        <is>
          <t>127-1</t>
        </is>
      </c>
      <c r="I174" s="111">
        <f>COUNTIF(Tower_3!G:G,'All Associates'!A174)+COUNTIF(Tower_4!G:G,'All Associates'!A174)+COUNTIF(Tower_5!G:G,'All Associates'!A174)+COUNTIF(Tower_6!G:G,'All Associates'!A174)+COUNTIF(Riviera_3!G:G,'All Associates'!A174)+COUNTIF(Riviera_4!G:G,'All Associates'!A174)+COUNTIF(Riviera_5!G:G,'All Associates'!A174)</f>
        <v/>
      </c>
      <c r="J174" s="112">
        <f>IF(I174=0,"Not Allocated",IF(I174=1,"Allocated","Duplicate"))</f>
        <v/>
      </c>
    </row>
    <row r="175" hidden="1">
      <c r="A175" s="83" t="n">
        <v>411</v>
      </c>
      <c r="B175" s="80" t="inlineStr">
        <is>
          <t>SAMANTHA COLLINS</t>
        </is>
      </c>
      <c r="C175" s="80" t="inlineStr">
        <is>
          <t>Activ</t>
        </is>
      </c>
      <c r="D175" s="80" t="inlineStr">
        <is>
          <t>TINA WONG</t>
        </is>
      </c>
      <c r="E175" s="80" t="inlineStr">
        <is>
          <t>DR. DIANA CARROLL</t>
        </is>
      </c>
      <c r="F175" s="80" t="inlineStr">
        <is>
          <t>HEATHER SOLIS</t>
        </is>
      </c>
      <c r="G175" s="80" t="inlineStr">
        <is>
          <t>HEATHER SOLIS</t>
        </is>
      </c>
      <c r="H175" s="80" t="inlineStr">
        <is>
          <t>138-1</t>
        </is>
      </c>
      <c r="I175" s="111">
        <f>COUNTIF(Tower_3!G:G,'All Associates'!A175)+COUNTIF(Tower_4!G:G,'All Associates'!A175)+COUNTIF(Tower_5!G:G,'All Associates'!A175)+COUNTIF(Tower_6!G:G,'All Associates'!A175)+COUNTIF(Riviera_3!G:G,'All Associates'!A175)+COUNTIF(Riviera_4!G:G,'All Associates'!A175)+COUNTIF(Riviera_5!G:G,'All Associates'!A175)</f>
        <v/>
      </c>
      <c r="J175" s="112">
        <f>IF(I175=0,"Not Allocated",IF(I175=1,"Allocated","Duplicate"))</f>
        <v/>
      </c>
    </row>
    <row r="176" hidden="1">
      <c r="A176" s="83" t="n">
        <v>61</v>
      </c>
      <c r="B176" s="80" t="inlineStr">
        <is>
          <t>ANN THOMPSON</t>
        </is>
      </c>
      <c r="C176" s="80" t="inlineStr">
        <is>
          <t>Activ</t>
        </is>
      </c>
      <c r="D176" s="80" t="inlineStr">
        <is>
          <t>STEPHANIE PERKINS</t>
        </is>
      </c>
      <c r="E176" s="80" t="inlineStr">
        <is>
          <t>MR. MICHAEL KELLY</t>
        </is>
      </c>
      <c r="F176" s="80" t="inlineStr">
        <is>
          <t>HEATHER SOLIS</t>
        </is>
      </c>
      <c r="G176" s="80" t="inlineStr">
        <is>
          <t>HEATHER SOLIS</t>
        </is>
      </c>
      <c r="H176" s="80" t="inlineStr">
        <is>
          <t>138-2</t>
        </is>
      </c>
      <c r="I176" s="111">
        <f>COUNTIF(Tower_3!G:G,'All Associates'!A176)+COUNTIF(Tower_4!G:G,'All Associates'!A176)+COUNTIF(Tower_5!G:G,'All Associates'!A176)+COUNTIF(Tower_6!G:G,'All Associates'!A176)+COUNTIF(Riviera_3!G:G,'All Associates'!A176)+COUNTIF(Riviera_4!G:G,'All Associates'!A176)+COUNTIF(Riviera_5!G:G,'All Associates'!A176)</f>
        <v/>
      </c>
      <c r="J176" s="112">
        <f>IF(I176=0,"Not Allocated",IF(I176=1,"Allocated","Duplicate"))</f>
        <v/>
      </c>
    </row>
    <row r="177" hidden="1">
      <c r="A177" s="83" t="n">
        <v>487</v>
      </c>
      <c r="B177" s="80" t="inlineStr">
        <is>
          <t>BROOKE BRYANT</t>
        </is>
      </c>
      <c r="C177" s="80" t="inlineStr">
        <is>
          <t>Activ</t>
        </is>
      </c>
      <c r="D177" s="80" t="inlineStr">
        <is>
          <t>DOROTHY MARSHALL</t>
        </is>
      </c>
      <c r="E177" s="80" t="inlineStr">
        <is>
          <t>KIMBERLY CLARK</t>
        </is>
      </c>
      <c r="F177" s="80" t="inlineStr">
        <is>
          <t>KIMBERLY CLARK</t>
        </is>
      </c>
      <c r="G177" s="80" t="inlineStr">
        <is>
          <t>KIMBERLY CLARK</t>
        </is>
      </c>
      <c r="H177" s="80" t="inlineStr">
        <is>
          <t>230-1</t>
        </is>
      </c>
      <c r="I177" s="111">
        <f>COUNTIF(Tower_3!G:G,'All Associates'!A177)+COUNTIF(Tower_4!G:G,'All Associates'!A177)+COUNTIF(Tower_5!G:G,'All Associates'!A177)+COUNTIF(Tower_6!G:G,'All Associates'!A177)+COUNTIF(Riviera_3!G:G,'All Associates'!A177)+COUNTIF(Riviera_4!G:G,'All Associates'!A177)+COUNTIF(Riviera_5!G:G,'All Associates'!A177)</f>
        <v/>
      </c>
      <c r="J177" s="112">
        <f>IF(I177=0,"Not Allocated",IF(I177=1,"Allocated","Duplicate"))</f>
        <v/>
      </c>
    </row>
    <row r="178" hidden="1">
      <c r="A178" s="83" t="n">
        <v>1189</v>
      </c>
      <c r="B178" s="80" t="inlineStr">
        <is>
          <t>DAVID GOMEZ</t>
        </is>
      </c>
      <c r="C178" s="80" t="inlineStr">
        <is>
          <t>Activ</t>
        </is>
      </c>
      <c r="D178" s="80" t="inlineStr">
        <is>
          <t>LOUIS PETERSEN</t>
        </is>
      </c>
      <c r="E178" s="80" t="inlineStr">
        <is>
          <t>KENNETH CONRAD</t>
        </is>
      </c>
      <c r="F178" s="80" t="inlineStr">
        <is>
          <t>KIMBERLY CLARK</t>
        </is>
      </c>
      <c r="G178" s="80" t="inlineStr">
        <is>
          <t>KENNETH CONRAD</t>
        </is>
      </c>
      <c r="H178" s="80" t="inlineStr">
        <is>
          <t>127-1</t>
        </is>
      </c>
      <c r="I178" s="111">
        <f>COUNTIF(Tower_3!G:G,'All Associates'!A178)+COUNTIF(Tower_4!G:G,'All Associates'!A178)+COUNTIF(Tower_5!G:G,'All Associates'!A178)+COUNTIF(Tower_6!G:G,'All Associates'!A178)+COUNTIF(Riviera_3!G:G,'All Associates'!A178)+COUNTIF(Riviera_4!G:G,'All Associates'!A178)+COUNTIF(Riviera_5!G:G,'All Associates'!A178)</f>
        <v/>
      </c>
      <c r="J178" s="112">
        <f>IF(I178=0,"Not Allocated",IF(I178=1,"Allocated","Duplicate"))</f>
        <v/>
      </c>
    </row>
    <row r="179" hidden="1">
      <c r="A179" s="83" t="n">
        <v>751</v>
      </c>
      <c r="B179" s="80" t="inlineStr">
        <is>
          <t>PATRICIA MAY</t>
        </is>
      </c>
      <c r="C179" s="80" t="inlineStr">
        <is>
          <t>Activ</t>
        </is>
      </c>
      <c r="D179" s="80" t="inlineStr">
        <is>
          <t>CHRISTOPHER HUFFMAN</t>
        </is>
      </c>
      <c r="E179" s="80" t="inlineStr">
        <is>
          <t>CHARLES POWELL</t>
        </is>
      </c>
      <c r="F179" s="80" t="inlineStr">
        <is>
          <t>KIMBERLY CLARK</t>
        </is>
      </c>
      <c r="G179" s="80" t="inlineStr">
        <is>
          <t>CHARLES POWELL</t>
        </is>
      </c>
      <c r="H179" s="80" t="inlineStr">
        <is>
          <t>138-3</t>
        </is>
      </c>
      <c r="I179" s="111">
        <f>COUNTIF(Tower_3!G:G,'All Associates'!A179)+COUNTIF(Tower_4!G:G,'All Associates'!A179)+COUNTIF(Tower_5!G:G,'All Associates'!A179)+COUNTIF(Tower_6!G:G,'All Associates'!A179)+COUNTIF(Riviera_3!G:G,'All Associates'!A179)+COUNTIF(Riviera_4!G:G,'All Associates'!A179)+COUNTIF(Riviera_5!G:G,'All Associates'!A179)</f>
        <v/>
      </c>
      <c r="J179" s="112">
        <f>IF(I179=0,"Not Allocated",IF(I179=1,"Allocated","Duplicate"))</f>
        <v/>
      </c>
    </row>
    <row r="180" hidden="1">
      <c r="A180" s="83" t="n">
        <v>189</v>
      </c>
      <c r="B180" s="80" t="inlineStr">
        <is>
          <t>DOUGLAS BUCHANAN PHD</t>
        </is>
      </c>
      <c r="C180" s="80" t="inlineStr">
        <is>
          <t>Activ</t>
        </is>
      </c>
      <c r="D180" s="80" t="inlineStr">
        <is>
          <t>KENNETH CONRAD</t>
        </is>
      </c>
      <c r="E180" s="80" t="inlineStr">
        <is>
          <t>KIMBERLY CLARK</t>
        </is>
      </c>
      <c r="F180" s="80" t="inlineStr">
        <is>
          <t>KIMBERLY CLARK</t>
        </is>
      </c>
      <c r="G180" s="80" t="inlineStr">
        <is>
          <t>KENNETH CONRAD</t>
        </is>
      </c>
      <c r="H180" s="80" t="inlineStr">
        <is>
          <t>127-1</t>
        </is>
      </c>
      <c r="I180" s="111">
        <f>COUNTIF(Tower_3!G:G,'All Associates'!A180)+COUNTIF(Tower_4!G:G,'All Associates'!A180)+COUNTIF(Tower_5!G:G,'All Associates'!A180)+COUNTIF(Tower_6!G:G,'All Associates'!A180)+COUNTIF(Riviera_3!G:G,'All Associates'!A180)+COUNTIF(Riviera_4!G:G,'All Associates'!A180)+COUNTIF(Riviera_5!G:G,'All Associates'!A180)</f>
        <v/>
      </c>
      <c r="J180" s="112">
        <f>IF(I180=0,"Not Allocated",IF(I180=1,"Allocated","Duplicate"))</f>
        <v/>
      </c>
    </row>
    <row r="181" hidden="1">
      <c r="A181" s="83" t="n">
        <v>164</v>
      </c>
      <c r="B181" s="80" t="inlineStr">
        <is>
          <t>HALEY MILLER</t>
        </is>
      </c>
      <c r="C181" s="80" t="inlineStr">
        <is>
          <t>Activ</t>
        </is>
      </c>
      <c r="D181" s="80" t="inlineStr">
        <is>
          <t>KIMBERLY CLARK</t>
        </is>
      </c>
      <c r="E181" s="80" t="inlineStr">
        <is>
          <t>KIMBERLY CLARK</t>
        </is>
      </c>
      <c r="F181" s="80" t="inlineStr">
        <is>
          <t>KIMBERLY CLARK</t>
        </is>
      </c>
      <c r="G181" s="80" t="inlineStr">
        <is>
          <t>HEATHER SOLIS</t>
        </is>
      </c>
      <c r="H181" s="80" t="inlineStr">
        <is>
          <t>138-1</t>
        </is>
      </c>
      <c r="I181" s="111">
        <f>COUNTIF(Tower_3!G:G,'All Associates'!A181)+COUNTIF(Tower_4!G:G,'All Associates'!A181)+COUNTIF(Tower_5!G:G,'All Associates'!A181)+COUNTIF(Tower_6!G:G,'All Associates'!A181)+COUNTIF(Riviera_3!G:G,'All Associates'!A181)+COUNTIF(Riviera_4!G:G,'All Associates'!A181)+COUNTIF(Riviera_5!G:G,'All Associates'!A181)</f>
        <v/>
      </c>
      <c r="J181" s="112">
        <f>IF(I181=0,"Not Allocated",IF(I181=1,"Allocated","Duplicate"))</f>
        <v/>
      </c>
    </row>
    <row r="182" hidden="1">
      <c r="A182" s="83" t="n">
        <v>994</v>
      </c>
      <c r="B182" s="80" t="inlineStr">
        <is>
          <t>GABRIELA LEE MD</t>
        </is>
      </c>
      <c r="C182" s="80" t="inlineStr">
        <is>
          <t>Activ</t>
        </is>
      </c>
      <c r="D182" s="80" t="inlineStr">
        <is>
          <t>KIMBERLY CLARK</t>
        </is>
      </c>
      <c r="E182" s="80" t="inlineStr">
        <is>
          <t>KIMBERLY CLARK</t>
        </is>
      </c>
      <c r="F182" s="80" t="inlineStr">
        <is>
          <t>KIMBERLY CLARK</t>
        </is>
      </c>
      <c r="G182" s="80" t="inlineStr">
        <is>
          <t>KIMBERLY CLARK</t>
        </is>
      </c>
      <c r="H182" s="80" t="inlineStr">
        <is>
          <t>230-1</t>
        </is>
      </c>
      <c r="I182" s="111">
        <f>COUNTIF(Tower_3!G:G,'All Associates'!A182)+COUNTIF(Tower_4!G:G,'All Associates'!A182)+COUNTIF(Tower_5!G:G,'All Associates'!A182)+COUNTIF(Tower_6!G:G,'All Associates'!A182)+COUNTIF(Riviera_3!G:G,'All Associates'!A182)+COUNTIF(Riviera_4!G:G,'All Associates'!A182)+COUNTIF(Riviera_5!G:G,'All Associates'!A182)</f>
        <v/>
      </c>
      <c r="J182" s="112">
        <f>IF(I182=0,"Not Allocated",IF(I182=1,"Allocated","Duplicate"))</f>
        <v/>
      </c>
    </row>
    <row r="183" hidden="1">
      <c r="A183" s="83" t="n">
        <v>1163</v>
      </c>
      <c r="B183" s="80" t="inlineStr">
        <is>
          <t>RAYMOND JOHNSON</t>
        </is>
      </c>
      <c r="C183" s="80" t="inlineStr">
        <is>
          <t>Activ</t>
        </is>
      </c>
      <c r="D183" s="80" t="inlineStr">
        <is>
          <t>BETH TUCKER</t>
        </is>
      </c>
      <c r="E183" s="80" t="inlineStr">
        <is>
          <t>KIMBERLY CLARK</t>
        </is>
      </c>
      <c r="F183" s="80" t="inlineStr">
        <is>
          <t>KIMBERLY CLARK</t>
        </is>
      </c>
      <c r="G183" s="80" t="inlineStr">
        <is>
          <t>KIMBERLY CLARK</t>
        </is>
      </c>
      <c r="H183" s="80" t="inlineStr">
        <is>
          <t>156-2</t>
        </is>
      </c>
      <c r="I183" s="111">
        <f>COUNTIF(Tower_3!G:G,'All Associates'!A183)+COUNTIF(Tower_4!G:G,'All Associates'!A183)+COUNTIF(Tower_5!G:G,'All Associates'!A183)+COUNTIF(Tower_6!G:G,'All Associates'!A183)+COUNTIF(Riviera_3!G:G,'All Associates'!A183)+COUNTIF(Riviera_4!G:G,'All Associates'!A183)+COUNTIF(Riviera_5!G:G,'All Associates'!A183)</f>
        <v/>
      </c>
      <c r="J183" s="112">
        <f>IF(I183=0,"Not Allocated",IF(I183=1,"Allocated","Duplicate"))</f>
        <v/>
      </c>
    </row>
    <row r="184" hidden="1">
      <c r="A184" s="83" t="n">
        <v>554</v>
      </c>
      <c r="B184" s="80" t="inlineStr">
        <is>
          <t>JORGE HARDY</t>
        </is>
      </c>
      <c r="C184" s="80" t="inlineStr">
        <is>
          <t>Activ</t>
        </is>
      </c>
      <c r="D184" s="80" t="inlineStr">
        <is>
          <t>ASHLEY FRENCH</t>
        </is>
      </c>
      <c r="E184" s="80" t="inlineStr">
        <is>
          <t>PHILLIP TRAVIS</t>
        </is>
      </c>
      <c r="F184" s="80" t="inlineStr">
        <is>
          <t>KIMBERLY CLARK</t>
        </is>
      </c>
      <c r="G184" s="80" t="inlineStr">
        <is>
          <t>PHILLIP TRAVIS</t>
        </is>
      </c>
      <c r="H184" s="80" t="inlineStr">
        <is>
          <t>156-1</t>
        </is>
      </c>
      <c r="I184" s="111">
        <f>COUNTIF(Tower_3!G:G,'All Associates'!A184)+COUNTIF(Tower_4!G:G,'All Associates'!A184)+COUNTIF(Tower_5!G:G,'All Associates'!A184)+COUNTIF(Tower_6!G:G,'All Associates'!A184)+COUNTIF(Riviera_3!G:G,'All Associates'!A184)+COUNTIF(Riviera_4!G:G,'All Associates'!A184)+COUNTIF(Riviera_5!G:G,'All Associates'!A184)</f>
        <v/>
      </c>
      <c r="J184" s="112">
        <f>IF(I184=0,"Not Allocated",IF(I184=1,"Allocated","Duplicate"))</f>
        <v/>
      </c>
    </row>
    <row r="185" hidden="1">
      <c r="A185" s="83" t="n">
        <v>1034</v>
      </c>
      <c r="B185" s="80" t="inlineStr">
        <is>
          <t>ROBERT BROWN</t>
        </is>
      </c>
      <c r="C185" s="80" t="inlineStr">
        <is>
          <t>Activ</t>
        </is>
      </c>
      <c r="D185" s="80" t="inlineStr">
        <is>
          <t>STEPHEN GARCIA</t>
        </is>
      </c>
      <c r="E185" s="80" t="inlineStr">
        <is>
          <t>NATHAN HAMILTON</t>
        </is>
      </c>
      <c r="F185" s="80" t="inlineStr">
        <is>
          <t>KIMBERLY CLARK</t>
        </is>
      </c>
      <c r="G185" s="80" t="inlineStr">
        <is>
          <t>NATHAN HAMILTON</t>
        </is>
      </c>
      <c r="H185" s="80" t="inlineStr">
        <is>
          <t>221-1</t>
        </is>
      </c>
      <c r="I185" s="111">
        <f>COUNTIF(Tower_3!G:G,'All Associates'!A185)+COUNTIF(Tower_4!G:G,'All Associates'!A185)+COUNTIF(Tower_5!G:G,'All Associates'!A185)+COUNTIF(Tower_6!G:G,'All Associates'!A185)+COUNTIF(Riviera_3!G:G,'All Associates'!A185)+COUNTIF(Riviera_4!G:G,'All Associates'!A185)+COUNTIF(Riviera_5!G:G,'All Associates'!A185)</f>
        <v/>
      </c>
      <c r="J185" s="112">
        <f>IF(I185=0,"Not Allocated",IF(I185=1,"Allocated","Duplicate"))</f>
        <v/>
      </c>
    </row>
    <row r="186" hidden="1">
      <c r="A186" s="83" t="n">
        <v>225</v>
      </c>
      <c r="B186" s="80" t="inlineStr">
        <is>
          <t>TIMOTHY MARTINEZ</t>
        </is>
      </c>
      <c r="C186" s="80" t="inlineStr">
        <is>
          <t>Activ</t>
        </is>
      </c>
      <c r="D186" s="80" t="inlineStr">
        <is>
          <t>HEATHER SOLIS</t>
        </is>
      </c>
      <c r="E186" s="80" t="inlineStr">
        <is>
          <t>KIMBERLY CLARK</t>
        </is>
      </c>
      <c r="F186" s="80" t="inlineStr">
        <is>
          <t>KIMBERLY CLARK</t>
        </is>
      </c>
      <c r="G186" s="80" t="inlineStr">
        <is>
          <t>HEATHER SOLIS</t>
        </is>
      </c>
      <c r="H186" s="80" t="inlineStr">
        <is>
          <t>138-1</t>
        </is>
      </c>
      <c r="I186" s="111">
        <f>COUNTIF(Tower_3!G:G,'All Associates'!A186)+COUNTIF(Tower_4!G:G,'All Associates'!A186)+COUNTIF(Tower_5!G:G,'All Associates'!A186)+COUNTIF(Tower_6!G:G,'All Associates'!A186)+COUNTIF(Riviera_3!G:G,'All Associates'!A186)+COUNTIF(Riviera_4!G:G,'All Associates'!A186)+COUNTIF(Riviera_5!G:G,'All Associates'!A186)</f>
        <v/>
      </c>
      <c r="J186" s="112">
        <f>IF(I186=0,"Not Allocated",IF(I186=1,"Allocated","Duplicate"))</f>
        <v/>
      </c>
    </row>
    <row r="187" hidden="1">
      <c r="A187" s="83" t="n">
        <v>926</v>
      </c>
      <c r="B187" s="80" t="inlineStr">
        <is>
          <t>AMY WOOD</t>
        </is>
      </c>
      <c r="C187" s="80" t="inlineStr">
        <is>
          <t>Activ</t>
        </is>
      </c>
      <c r="D187" s="80" t="inlineStr">
        <is>
          <t>DANIEL ALVAREZ</t>
        </is>
      </c>
      <c r="E187" s="80" t="inlineStr">
        <is>
          <t>ALEXANDER BAUTISTA</t>
        </is>
      </c>
      <c r="F187" s="80" t="inlineStr">
        <is>
          <t>HEATHER SOLIS</t>
        </is>
      </c>
      <c r="G187" s="80" t="inlineStr">
        <is>
          <t>HEATHER SOLIS</t>
        </is>
      </c>
      <c r="H187" s="80" t="inlineStr">
        <is>
          <t>138-1</t>
        </is>
      </c>
      <c r="I187" s="111">
        <f>COUNTIF(Tower_3!G:G,'All Associates'!A187)+COUNTIF(Tower_4!G:G,'All Associates'!A187)+COUNTIF(Tower_5!G:G,'All Associates'!A187)+COUNTIF(Tower_6!G:G,'All Associates'!A187)+COUNTIF(Riviera_3!G:G,'All Associates'!A187)+COUNTIF(Riviera_4!G:G,'All Associates'!A187)+COUNTIF(Riviera_5!G:G,'All Associates'!A187)</f>
        <v/>
      </c>
      <c r="J187" s="112">
        <f>IF(I187=0,"Not Allocated",IF(I187=1,"Allocated","Duplicate"))</f>
        <v/>
      </c>
    </row>
    <row r="188" hidden="1">
      <c r="A188" s="83" t="n">
        <v>891</v>
      </c>
      <c r="B188" s="80" t="inlineStr">
        <is>
          <t>ROBERT WELLS</t>
        </is>
      </c>
      <c r="C188" s="80" t="inlineStr">
        <is>
          <t>Activ</t>
        </is>
      </c>
      <c r="D188" s="80" t="inlineStr">
        <is>
          <t>DR. DIANA CARROLL</t>
        </is>
      </c>
      <c r="E188" s="80" t="inlineStr">
        <is>
          <t>HEATHER SOLIS</t>
        </is>
      </c>
      <c r="F188" s="80" t="inlineStr">
        <is>
          <t>KIMBERLY CLARK</t>
        </is>
      </c>
      <c r="G188" s="80" t="inlineStr">
        <is>
          <t>HEATHER SOLIS</t>
        </is>
      </c>
      <c r="H188" s="80" t="inlineStr">
        <is>
          <t>138-1</t>
        </is>
      </c>
      <c r="I188" s="111">
        <f>COUNTIF(Tower_3!G:G,'All Associates'!A188)+COUNTIF(Tower_4!G:G,'All Associates'!A188)+COUNTIF(Tower_5!G:G,'All Associates'!A188)+COUNTIF(Tower_6!G:G,'All Associates'!A188)+COUNTIF(Riviera_3!G:G,'All Associates'!A188)+COUNTIF(Riviera_4!G:G,'All Associates'!A188)+COUNTIF(Riviera_5!G:G,'All Associates'!A188)</f>
        <v/>
      </c>
      <c r="J188" s="112">
        <f>IF(I188=0,"Not Allocated",IF(I188=1,"Allocated","Duplicate"))</f>
        <v/>
      </c>
    </row>
    <row r="189" hidden="1">
      <c r="A189" s="83" t="n">
        <v>1166</v>
      </c>
      <c r="B189" s="80" t="inlineStr">
        <is>
          <t>KEVIN JONES</t>
        </is>
      </c>
      <c r="C189" s="80" t="inlineStr">
        <is>
          <t>Activ</t>
        </is>
      </c>
      <c r="D189" s="80" t="inlineStr">
        <is>
          <t>JENNY HOWARD</t>
        </is>
      </c>
      <c r="E189" s="80" t="inlineStr">
        <is>
          <t>CHARLES POWELL</t>
        </is>
      </c>
      <c r="F189" s="80" t="inlineStr">
        <is>
          <t>KIMBERLY CLARK</t>
        </is>
      </c>
      <c r="G189" s="80" t="inlineStr">
        <is>
          <t>CHARLES POWELL</t>
        </is>
      </c>
      <c r="H189" s="80" t="inlineStr">
        <is>
          <t>138-3</t>
        </is>
      </c>
      <c r="I189" s="111">
        <f>COUNTIF(Tower_3!G:G,'All Associates'!A189)+COUNTIF(Tower_4!G:G,'All Associates'!A189)+COUNTIF(Tower_5!G:G,'All Associates'!A189)+COUNTIF(Tower_6!G:G,'All Associates'!A189)+COUNTIF(Riviera_3!G:G,'All Associates'!A189)+COUNTIF(Riviera_4!G:G,'All Associates'!A189)+COUNTIF(Riviera_5!G:G,'All Associates'!A189)</f>
        <v/>
      </c>
      <c r="J189" s="112">
        <f>IF(I189=0,"Not Allocated",IF(I189=1,"Allocated","Duplicate"))</f>
        <v/>
      </c>
    </row>
    <row r="190" hidden="1">
      <c r="A190" s="83" t="n">
        <v>1038</v>
      </c>
      <c r="B190" s="80" t="inlineStr">
        <is>
          <t>REBEKAH TUCKER</t>
        </is>
      </c>
      <c r="C190" s="80" t="inlineStr">
        <is>
          <t>Activ</t>
        </is>
      </c>
      <c r="D190" s="80" t="inlineStr">
        <is>
          <t>TIMOTHY WELCH</t>
        </is>
      </c>
      <c r="E190" s="80" t="inlineStr">
        <is>
          <t>CHAD PEREZ</t>
        </is>
      </c>
      <c r="F190" s="80" t="inlineStr">
        <is>
          <t>MARISSA CROSS</t>
        </is>
      </c>
      <c r="G190" s="80" t="inlineStr">
        <is>
          <t>MARISSA CROSS</t>
        </is>
      </c>
      <c r="H190" s="80" t="inlineStr">
        <is>
          <t>220-2</t>
        </is>
      </c>
      <c r="I190" s="111">
        <f>COUNTIF(Tower_3!G:G,'All Associates'!A190)+COUNTIF(Tower_4!G:G,'All Associates'!A190)+COUNTIF(Tower_5!G:G,'All Associates'!A190)+COUNTIF(Tower_6!G:G,'All Associates'!A190)+COUNTIF(Riviera_3!G:G,'All Associates'!A190)+COUNTIF(Riviera_4!G:G,'All Associates'!A190)+COUNTIF(Riviera_5!G:G,'All Associates'!A190)</f>
        <v/>
      </c>
      <c r="J190" s="112">
        <f>IF(I190=0,"Not Allocated",IF(I190=1,"Allocated","Duplicate"))</f>
        <v/>
      </c>
    </row>
    <row r="191" hidden="1">
      <c r="A191" s="83" t="n">
        <v>1107</v>
      </c>
      <c r="B191" s="80" t="inlineStr">
        <is>
          <t>ERIK DANIELS</t>
        </is>
      </c>
      <c r="C191" s="80" t="inlineStr">
        <is>
          <t>Activ</t>
        </is>
      </c>
      <c r="D191" s="80" t="inlineStr">
        <is>
          <t>ERIC GREENE</t>
        </is>
      </c>
      <c r="E191" s="80" t="inlineStr">
        <is>
          <t>ADAM SMITH</t>
        </is>
      </c>
      <c r="F191" s="80" t="inlineStr">
        <is>
          <t>PHILLIP TRAVIS</t>
        </is>
      </c>
      <c r="G191" s="80" t="inlineStr">
        <is>
          <t>PHILLIP TRAVIS</t>
        </is>
      </c>
      <c r="H191" s="80" t="inlineStr">
        <is>
          <t>156-1</t>
        </is>
      </c>
      <c r="I191" s="111">
        <f>COUNTIF(Tower_3!G:G,'All Associates'!A191)+COUNTIF(Tower_4!G:G,'All Associates'!A191)+COUNTIF(Tower_5!G:G,'All Associates'!A191)+COUNTIF(Tower_6!G:G,'All Associates'!A191)+COUNTIF(Riviera_3!G:G,'All Associates'!A191)+COUNTIF(Riviera_4!G:G,'All Associates'!A191)+COUNTIF(Riviera_5!G:G,'All Associates'!A191)</f>
        <v/>
      </c>
      <c r="J191" s="112">
        <f>IF(I191=0,"Not Allocated",IF(I191=1,"Allocated","Duplicate"))</f>
        <v/>
      </c>
    </row>
    <row r="192" hidden="1">
      <c r="A192" s="83" t="n">
        <v>1226</v>
      </c>
      <c r="B192" s="80" t="inlineStr">
        <is>
          <t>MONIQUE HERNANDEZ</t>
        </is>
      </c>
      <c r="C192" s="80" t="inlineStr">
        <is>
          <t>Activ</t>
        </is>
      </c>
      <c r="D192" s="80" t="inlineStr">
        <is>
          <t>BRENDA PAGE</t>
        </is>
      </c>
      <c r="E192" s="80" t="inlineStr">
        <is>
          <t>ASHLEY FRENCH</t>
        </is>
      </c>
      <c r="F192" s="80" t="inlineStr">
        <is>
          <t>PHILLIP TRAVIS</t>
        </is>
      </c>
      <c r="G192" s="80" t="inlineStr">
        <is>
          <t>PHILLIP TRAVIS</t>
        </is>
      </c>
      <c r="H192" s="80" t="inlineStr">
        <is>
          <t>156-1</t>
        </is>
      </c>
      <c r="I192" s="111">
        <f>COUNTIF(Tower_3!G:G,'All Associates'!A192)+COUNTIF(Tower_4!G:G,'All Associates'!A192)+COUNTIF(Tower_5!G:G,'All Associates'!A192)+COUNTIF(Tower_6!G:G,'All Associates'!A192)+COUNTIF(Riviera_3!G:G,'All Associates'!A192)+COUNTIF(Riviera_4!G:G,'All Associates'!A192)+COUNTIF(Riviera_5!G:G,'All Associates'!A192)</f>
        <v/>
      </c>
      <c r="J192" s="112">
        <f>IF(I192=0,"Not Allocated",IF(I192=1,"Allocated","Duplicate"))</f>
        <v/>
      </c>
    </row>
    <row r="193" hidden="1">
      <c r="A193" s="83" t="n">
        <v>1183</v>
      </c>
      <c r="B193" s="80" t="inlineStr">
        <is>
          <t>VANESSA BAKER</t>
        </is>
      </c>
      <c r="C193" s="80" t="inlineStr">
        <is>
          <t>Activ</t>
        </is>
      </c>
      <c r="D193" s="80" t="inlineStr">
        <is>
          <t>CRYSTAL HOLLAND</t>
        </is>
      </c>
      <c r="E193" s="80" t="inlineStr">
        <is>
          <t>ALEXANDER MILLER</t>
        </is>
      </c>
      <c r="F193" s="80" t="inlineStr">
        <is>
          <t>KIMBERLY CLARK</t>
        </is>
      </c>
      <c r="G193" s="80" t="inlineStr">
        <is>
          <t>ALEXANDER MILLER</t>
        </is>
      </c>
      <c r="H193" s="80" t="inlineStr">
        <is>
          <t>135-1</t>
        </is>
      </c>
      <c r="I193" s="111">
        <f>COUNTIF(Tower_3!G:G,'All Associates'!A193)+COUNTIF(Tower_4!G:G,'All Associates'!A193)+COUNTIF(Tower_5!G:G,'All Associates'!A193)+COUNTIF(Tower_6!G:G,'All Associates'!A193)+COUNTIF(Riviera_3!G:G,'All Associates'!A193)+COUNTIF(Riviera_4!G:G,'All Associates'!A193)+COUNTIF(Riviera_5!G:G,'All Associates'!A193)</f>
        <v/>
      </c>
      <c r="J193" s="112">
        <f>IF(I193=0,"Not Allocated",IF(I193=1,"Allocated","Duplicate"))</f>
        <v/>
      </c>
    </row>
    <row r="194" hidden="1">
      <c r="A194" s="83" t="n">
        <v>391</v>
      </c>
      <c r="B194" s="80" t="inlineStr">
        <is>
          <t>ERIK COLLINS</t>
        </is>
      </c>
      <c r="C194" s="80" t="inlineStr">
        <is>
          <t>Activ</t>
        </is>
      </c>
      <c r="D194" s="80" t="inlineStr">
        <is>
          <t>JESSICA FERNANDEZ</t>
        </is>
      </c>
      <c r="E194" s="80" t="inlineStr">
        <is>
          <t>BRAD COOLEY</t>
        </is>
      </c>
      <c r="F194" s="80" t="inlineStr">
        <is>
          <t>MR. MICHAEL KELLY</t>
        </is>
      </c>
      <c r="G194" s="80" t="inlineStr">
        <is>
          <t>HEATHER SOLIS</t>
        </is>
      </c>
      <c r="H194" s="80" t="inlineStr">
        <is>
          <t>138-2</t>
        </is>
      </c>
      <c r="I194" s="111">
        <f>COUNTIF(Tower_3!G:G,'All Associates'!A194)+COUNTIF(Tower_4!G:G,'All Associates'!A194)+COUNTIF(Tower_5!G:G,'All Associates'!A194)+COUNTIF(Tower_6!G:G,'All Associates'!A194)+COUNTIF(Riviera_3!G:G,'All Associates'!A194)+COUNTIF(Riviera_4!G:G,'All Associates'!A194)+COUNTIF(Riviera_5!G:G,'All Associates'!A194)</f>
        <v/>
      </c>
      <c r="J194" s="112">
        <f>IF(I194=0,"Not Allocated",IF(I194=1,"Allocated","Duplicate"))</f>
        <v/>
      </c>
    </row>
    <row r="195" hidden="1">
      <c r="A195" s="83" t="n">
        <v>1186</v>
      </c>
      <c r="B195" s="80" t="inlineStr">
        <is>
          <t>ANTHONY MORRISON</t>
        </is>
      </c>
      <c r="C195" s="80" t="inlineStr">
        <is>
          <t>Activ</t>
        </is>
      </c>
      <c r="D195" s="80" t="inlineStr">
        <is>
          <t>ERIC GREENE</t>
        </is>
      </c>
      <c r="E195" s="80" t="inlineStr">
        <is>
          <t>ADAM SMITH</t>
        </is>
      </c>
      <c r="F195" s="80" t="inlineStr">
        <is>
          <t>PHILLIP TRAVIS</t>
        </is>
      </c>
      <c r="G195" s="80" t="inlineStr">
        <is>
          <t>PHILLIP TRAVIS</t>
        </is>
      </c>
      <c r="H195" s="80" t="inlineStr">
        <is>
          <t>156-1</t>
        </is>
      </c>
      <c r="I195" s="111">
        <f>COUNTIF(Tower_3!G:G,'All Associates'!A195)+COUNTIF(Tower_4!G:G,'All Associates'!A195)+COUNTIF(Tower_5!G:G,'All Associates'!A195)+COUNTIF(Tower_6!G:G,'All Associates'!A195)+COUNTIF(Riviera_3!G:G,'All Associates'!A195)+COUNTIF(Riviera_4!G:G,'All Associates'!A195)+COUNTIF(Riviera_5!G:G,'All Associates'!A195)</f>
        <v/>
      </c>
      <c r="J195" s="112">
        <f>IF(I195=0,"Not Allocated",IF(I195=1,"Allocated","Duplicate"))</f>
        <v/>
      </c>
    </row>
    <row r="196" hidden="1">
      <c r="A196" s="83" t="n">
        <v>1164</v>
      </c>
      <c r="B196" s="80" t="inlineStr">
        <is>
          <t>ALEXANDER ALVARADO</t>
        </is>
      </c>
      <c r="C196" s="80" t="inlineStr">
        <is>
          <t>Activ</t>
        </is>
      </c>
      <c r="D196" s="80" t="inlineStr">
        <is>
          <t>JENNIFER WATSON</t>
        </is>
      </c>
      <c r="E196" s="80" t="inlineStr">
        <is>
          <t>BETH TUCKER</t>
        </is>
      </c>
      <c r="F196" s="80" t="inlineStr">
        <is>
          <t>KIMBERLY CLARK</t>
        </is>
      </c>
      <c r="G196" s="80" t="inlineStr">
        <is>
          <t>KIMBERLY CLARK</t>
        </is>
      </c>
      <c r="H196" s="80" t="inlineStr">
        <is>
          <t>156-2</t>
        </is>
      </c>
      <c r="I196" s="111">
        <f>COUNTIF(Tower_3!G:G,'All Associates'!A196)+COUNTIF(Tower_4!G:G,'All Associates'!A196)+COUNTIF(Tower_5!G:G,'All Associates'!A196)+COUNTIF(Tower_6!G:G,'All Associates'!A196)+COUNTIF(Riviera_3!G:G,'All Associates'!A196)+COUNTIF(Riviera_4!G:G,'All Associates'!A196)+COUNTIF(Riviera_5!G:G,'All Associates'!A196)</f>
        <v/>
      </c>
      <c r="J196" s="112">
        <f>IF(I196=0,"Not Allocated",IF(I196=1,"Allocated","Duplicate"))</f>
        <v/>
      </c>
    </row>
    <row r="197" hidden="1">
      <c r="A197" s="83" t="n">
        <v>671</v>
      </c>
      <c r="B197" s="80" t="inlineStr">
        <is>
          <t>DEBBIE BUCHANAN</t>
        </is>
      </c>
      <c r="C197" s="80" t="inlineStr">
        <is>
          <t>Activ</t>
        </is>
      </c>
      <c r="D197" s="80" t="inlineStr">
        <is>
          <t>CHRISTINE WALTON DDS</t>
        </is>
      </c>
      <c r="E197" s="80" t="inlineStr">
        <is>
          <t>ADAM SMITH</t>
        </is>
      </c>
      <c r="F197" s="80" t="inlineStr">
        <is>
          <t>PHILLIP TRAVIS</t>
        </is>
      </c>
      <c r="G197" s="80" t="inlineStr">
        <is>
          <t>PHILLIP TRAVIS</t>
        </is>
      </c>
      <c r="H197" s="80" t="inlineStr">
        <is>
          <t>156-1</t>
        </is>
      </c>
      <c r="I197" s="111">
        <f>COUNTIF(Tower_3!G:G,'All Associates'!A197)+COUNTIF(Tower_4!G:G,'All Associates'!A197)+COUNTIF(Tower_5!G:G,'All Associates'!A197)+COUNTIF(Tower_6!G:G,'All Associates'!A197)+COUNTIF(Riviera_3!G:G,'All Associates'!A197)+COUNTIF(Riviera_4!G:G,'All Associates'!A197)+COUNTIF(Riviera_5!G:G,'All Associates'!A197)</f>
        <v/>
      </c>
      <c r="J197" s="112">
        <f>IF(I197=0,"Not Allocated",IF(I197=1,"Allocated","Duplicate"))</f>
        <v/>
      </c>
    </row>
    <row r="198" hidden="1">
      <c r="A198" s="83" t="n">
        <v>806</v>
      </c>
      <c r="B198" s="80" t="inlineStr">
        <is>
          <t>JOSHUA ALEXANDER</t>
        </is>
      </c>
      <c r="C198" s="80" t="inlineStr">
        <is>
          <t>Activ</t>
        </is>
      </c>
      <c r="D198" s="80" t="inlineStr">
        <is>
          <t>AMY KHAN</t>
        </is>
      </c>
      <c r="E198" s="80" t="inlineStr">
        <is>
          <t>CHAD PEREZ</t>
        </is>
      </c>
      <c r="F198" s="80" t="inlineStr">
        <is>
          <t>MARISSA CROSS</t>
        </is>
      </c>
      <c r="G198" s="80" t="inlineStr">
        <is>
          <t>MARISSA CROSS</t>
        </is>
      </c>
      <c r="H198" s="80" t="inlineStr">
        <is>
          <t>220-2</t>
        </is>
      </c>
      <c r="I198" s="111">
        <f>COUNTIF(Tower_3!G:G,'All Associates'!A198)+COUNTIF(Tower_4!G:G,'All Associates'!A198)+COUNTIF(Tower_5!G:G,'All Associates'!A198)+COUNTIF(Tower_6!G:G,'All Associates'!A198)+COUNTIF(Riviera_3!G:G,'All Associates'!A198)+COUNTIF(Riviera_4!G:G,'All Associates'!A198)+COUNTIF(Riviera_5!G:G,'All Associates'!A198)</f>
        <v/>
      </c>
      <c r="J198" s="112">
        <f>IF(I198=0,"Not Allocated",IF(I198=1,"Allocated","Duplicate"))</f>
        <v/>
      </c>
    </row>
    <row r="199" hidden="1">
      <c r="A199" s="83" t="n">
        <v>908</v>
      </c>
      <c r="B199" s="80" t="inlineStr">
        <is>
          <t>ALEXANDRIA LONG</t>
        </is>
      </c>
      <c r="C199" s="86" t="inlineStr">
        <is>
          <t>Activ</t>
        </is>
      </c>
      <c r="D199" s="80" t="inlineStr">
        <is>
          <t>MICHAEL ROSALES</t>
        </is>
      </c>
      <c r="E199" s="80" t="inlineStr">
        <is>
          <t>BETH TUCKER</t>
        </is>
      </c>
      <c r="F199" s="80" t="inlineStr">
        <is>
          <t>KIMBERLY CLARK</t>
        </is>
      </c>
      <c r="G199" s="80" t="inlineStr">
        <is>
          <t>KIMBERLY CLARK</t>
        </is>
      </c>
      <c r="H199" s="80" t="inlineStr">
        <is>
          <t>156-2</t>
        </is>
      </c>
      <c r="I199" s="111">
        <f>COUNTIF(Tower_3!G:G,'All Associates'!A199)+COUNTIF(Tower_4!G:G,'All Associates'!A199)+COUNTIF(Tower_5!G:G,'All Associates'!A199)+COUNTIF(Tower_6!G:G,'All Associates'!A199)+COUNTIF(Riviera_3!G:G,'All Associates'!A199)+COUNTIF(Riviera_4!G:G,'All Associates'!A199)+COUNTIF(Riviera_5!G:G,'All Associates'!A199)</f>
        <v/>
      </c>
      <c r="J199" s="112">
        <f>IF(I199=0,"Not Allocated",IF(I199=1,"Allocated","Duplicate"))</f>
        <v/>
      </c>
    </row>
    <row r="200" hidden="1">
      <c r="A200" s="83" t="n">
        <v>1008</v>
      </c>
      <c r="B200" s="80" t="inlineStr">
        <is>
          <t>AUTUMN GIBSON</t>
        </is>
      </c>
      <c r="C200" s="80" t="inlineStr">
        <is>
          <t>Activ</t>
        </is>
      </c>
      <c r="D200" s="80" t="inlineStr">
        <is>
          <t>CHRISTINE WALTON DDS</t>
        </is>
      </c>
      <c r="E200" s="80" t="inlineStr">
        <is>
          <t>ADAM SMITH</t>
        </is>
      </c>
      <c r="F200" s="80" t="inlineStr">
        <is>
          <t>PHILLIP TRAVIS</t>
        </is>
      </c>
      <c r="G200" s="80" t="inlineStr">
        <is>
          <t>PHILLIP TRAVIS</t>
        </is>
      </c>
      <c r="H200" s="80" t="inlineStr">
        <is>
          <t>156-1</t>
        </is>
      </c>
      <c r="I200" s="111">
        <f>COUNTIF(Tower_3!G:G,'All Associates'!A200)+COUNTIF(Tower_4!G:G,'All Associates'!A200)+COUNTIF(Tower_5!G:G,'All Associates'!A200)+COUNTIF(Tower_6!G:G,'All Associates'!A200)+COUNTIF(Riviera_3!G:G,'All Associates'!A200)+COUNTIF(Riviera_4!G:G,'All Associates'!A200)+COUNTIF(Riviera_5!G:G,'All Associates'!A200)</f>
        <v/>
      </c>
      <c r="J200" s="112">
        <f>IF(I200=0,"Not Allocated",IF(I200=1,"Allocated","Duplicate"))</f>
        <v/>
      </c>
    </row>
    <row r="201" hidden="1">
      <c r="A201" s="83" t="n">
        <v>874</v>
      </c>
      <c r="B201" s="80" t="inlineStr">
        <is>
          <t>TIFFANY DAVIS</t>
        </is>
      </c>
      <c r="C201" s="80" t="inlineStr">
        <is>
          <t>Activ</t>
        </is>
      </c>
      <c r="D201" s="80" t="inlineStr">
        <is>
          <t>PETER ROBINSON</t>
        </is>
      </c>
      <c r="E201" s="80" t="inlineStr">
        <is>
          <t>MR. MICHAEL KELLY</t>
        </is>
      </c>
      <c r="F201" s="80" t="inlineStr">
        <is>
          <t>HEATHER SOLIS</t>
        </is>
      </c>
      <c r="G201" s="80" t="inlineStr">
        <is>
          <t>HEATHER SOLIS</t>
        </is>
      </c>
      <c r="H201" s="80" t="inlineStr">
        <is>
          <t>138-2</t>
        </is>
      </c>
      <c r="I201" s="111">
        <f>COUNTIF(Tower_3!G:G,'All Associates'!A201)+COUNTIF(Tower_4!G:G,'All Associates'!A201)+COUNTIF(Tower_5!G:G,'All Associates'!A201)+COUNTIF(Tower_6!G:G,'All Associates'!A201)+COUNTIF(Riviera_3!G:G,'All Associates'!A201)+COUNTIF(Riviera_4!G:G,'All Associates'!A201)+COUNTIF(Riviera_5!G:G,'All Associates'!A201)</f>
        <v/>
      </c>
      <c r="J201" s="112">
        <f>IF(I201=0,"Not Allocated",IF(I201=1,"Allocated","Duplicate"))</f>
        <v/>
      </c>
    </row>
    <row r="202" hidden="1">
      <c r="A202" s="83" t="n">
        <v>277</v>
      </c>
      <c r="B202" s="80" t="inlineStr">
        <is>
          <t>ANTHONY YODER</t>
        </is>
      </c>
      <c r="C202" s="80" t="inlineStr">
        <is>
          <t>Activ</t>
        </is>
      </c>
      <c r="D202" s="80" t="inlineStr">
        <is>
          <t>CYNTHIA STUART</t>
        </is>
      </c>
      <c r="E202" s="80" t="inlineStr">
        <is>
          <t>ALEXANDER BAUTISTA</t>
        </is>
      </c>
      <c r="F202" s="80" t="inlineStr">
        <is>
          <t>HEATHER SOLIS</t>
        </is>
      </c>
      <c r="G202" s="80" t="inlineStr">
        <is>
          <t>HEATHER SOLIS</t>
        </is>
      </c>
      <c r="H202" s="80" t="inlineStr">
        <is>
          <t>138-1</t>
        </is>
      </c>
      <c r="I202" s="111">
        <f>COUNTIF(Tower_3!G:G,'All Associates'!A202)+COUNTIF(Tower_4!G:G,'All Associates'!A202)+COUNTIF(Tower_5!G:G,'All Associates'!A202)+COUNTIF(Tower_6!G:G,'All Associates'!A202)+COUNTIF(Riviera_3!G:G,'All Associates'!A202)+COUNTIF(Riviera_4!G:G,'All Associates'!A202)+COUNTIF(Riviera_5!G:G,'All Associates'!A202)</f>
        <v/>
      </c>
      <c r="J202" s="112">
        <f>IF(I202=0,"Not Allocated",IF(I202=1,"Allocated","Duplicate"))</f>
        <v/>
      </c>
    </row>
    <row r="203" hidden="1">
      <c r="A203" s="83" t="n">
        <v>1148</v>
      </c>
      <c r="B203" s="80" t="inlineStr">
        <is>
          <t>SCOTT JOHNSON</t>
        </is>
      </c>
      <c r="C203" s="80" t="inlineStr">
        <is>
          <t>Activ</t>
        </is>
      </c>
      <c r="D203" s="80" t="inlineStr">
        <is>
          <t>CYNTHIA STUART</t>
        </is>
      </c>
      <c r="E203" s="80" t="inlineStr">
        <is>
          <t>ALEXANDER BAUTISTA</t>
        </is>
      </c>
      <c r="F203" s="80" t="inlineStr">
        <is>
          <t>HEATHER SOLIS</t>
        </is>
      </c>
      <c r="G203" s="80" t="inlineStr">
        <is>
          <t>HEATHER SOLIS</t>
        </is>
      </c>
      <c r="H203" s="80" t="inlineStr">
        <is>
          <t>138-1</t>
        </is>
      </c>
      <c r="I203" s="111">
        <f>COUNTIF(Tower_3!G:G,'All Associates'!A203)+COUNTIF(Tower_4!G:G,'All Associates'!A203)+COUNTIF(Tower_5!G:G,'All Associates'!A203)+COUNTIF(Tower_6!G:G,'All Associates'!A203)+COUNTIF(Riviera_3!G:G,'All Associates'!A203)+COUNTIF(Riviera_4!G:G,'All Associates'!A203)+COUNTIF(Riviera_5!G:G,'All Associates'!A203)</f>
        <v/>
      </c>
      <c r="J203" s="112">
        <f>IF(I203=0,"Not Allocated",IF(I203=1,"Allocated","Duplicate"))</f>
        <v/>
      </c>
    </row>
    <row r="204" hidden="1">
      <c r="A204" s="83" t="n">
        <v>1165</v>
      </c>
      <c r="B204" s="80" t="inlineStr">
        <is>
          <t>DANIEL MOORE</t>
        </is>
      </c>
      <c r="C204" s="80" t="inlineStr">
        <is>
          <t>Activ</t>
        </is>
      </c>
      <c r="D204" s="80" t="inlineStr">
        <is>
          <t>DONALD WHITE</t>
        </is>
      </c>
      <c r="E204" s="80" t="inlineStr">
        <is>
          <t>MARISSA CROSS</t>
        </is>
      </c>
      <c r="F204" s="80" t="inlineStr">
        <is>
          <t>KIMBERLY CLARK</t>
        </is>
      </c>
      <c r="G204" s="80" t="inlineStr">
        <is>
          <t>MARISSA CROSS</t>
        </is>
      </c>
      <c r="H204" s="80" t="inlineStr">
        <is>
          <t>220-2</t>
        </is>
      </c>
      <c r="I204" s="111">
        <f>COUNTIF(Tower_3!G:G,'All Associates'!A204)+COUNTIF(Tower_4!G:G,'All Associates'!A204)+COUNTIF(Tower_5!G:G,'All Associates'!A204)+COUNTIF(Tower_6!G:G,'All Associates'!A204)+COUNTIF(Riviera_3!G:G,'All Associates'!A204)+COUNTIF(Riviera_4!G:G,'All Associates'!A204)+COUNTIF(Riviera_5!G:G,'All Associates'!A204)</f>
        <v/>
      </c>
      <c r="J204" s="112">
        <f>IF(I204=0,"Not Allocated",IF(I204=1,"Allocated","Duplicate"))</f>
        <v/>
      </c>
    </row>
    <row r="205" hidden="1">
      <c r="A205" s="83" t="n">
        <v>745</v>
      </c>
      <c r="B205" s="80" t="inlineStr">
        <is>
          <t>JOHN LEE</t>
        </is>
      </c>
      <c r="C205" s="80" t="inlineStr">
        <is>
          <t>Activ</t>
        </is>
      </c>
      <c r="D205" s="80" t="inlineStr">
        <is>
          <t>DONALD WHITE</t>
        </is>
      </c>
      <c r="E205" s="80" t="inlineStr">
        <is>
          <t>MARISSA CROSS</t>
        </is>
      </c>
      <c r="F205" s="80" t="inlineStr">
        <is>
          <t>KIMBERLY CLARK</t>
        </is>
      </c>
      <c r="G205" s="80" t="inlineStr">
        <is>
          <t>MARISSA CROSS</t>
        </is>
      </c>
      <c r="H205" s="80" t="inlineStr">
        <is>
          <t>220-2</t>
        </is>
      </c>
      <c r="I205" s="111">
        <f>COUNTIF(Tower_3!G:G,'All Associates'!A205)+COUNTIF(Tower_4!G:G,'All Associates'!A205)+COUNTIF(Tower_5!G:G,'All Associates'!A205)+COUNTIF(Tower_6!G:G,'All Associates'!A205)+COUNTIF(Riviera_3!G:G,'All Associates'!A205)+COUNTIF(Riviera_4!G:G,'All Associates'!A205)+COUNTIF(Riviera_5!G:G,'All Associates'!A205)</f>
        <v/>
      </c>
      <c r="J205" s="112">
        <f>IF(I205=0,"Not Allocated",IF(I205=1,"Allocated","Duplicate"))</f>
        <v/>
      </c>
    </row>
    <row r="206" hidden="1">
      <c r="A206" s="83" t="n">
        <v>890</v>
      </c>
      <c r="B206" s="80" t="inlineStr">
        <is>
          <t>BRANDI TYLER</t>
        </is>
      </c>
      <c r="C206" s="80" t="inlineStr">
        <is>
          <t>Activ</t>
        </is>
      </c>
      <c r="D206" s="80" t="inlineStr">
        <is>
          <t>ERIC SANFORD</t>
        </is>
      </c>
      <c r="E206" s="80" t="inlineStr">
        <is>
          <t>REBECCA SPENCE</t>
        </is>
      </c>
      <c r="F206" s="80" t="inlineStr">
        <is>
          <t>ALEXANDER MILLER</t>
        </is>
      </c>
      <c r="G206" s="80" t="inlineStr">
        <is>
          <t>ALEXANDER MILLER</t>
        </is>
      </c>
      <c r="H206" s="80" t="inlineStr">
        <is>
          <t>135-1</t>
        </is>
      </c>
      <c r="I206" s="111">
        <f>COUNTIF(Tower_3!G:G,'All Associates'!A206)+COUNTIF(Tower_4!G:G,'All Associates'!A206)+COUNTIF(Tower_5!G:G,'All Associates'!A206)+COUNTIF(Tower_6!G:G,'All Associates'!A206)+COUNTIF(Riviera_3!G:G,'All Associates'!A206)+COUNTIF(Riviera_4!G:G,'All Associates'!A206)+COUNTIF(Riviera_5!G:G,'All Associates'!A206)</f>
        <v/>
      </c>
      <c r="J206" s="112">
        <f>IF(I206=0,"Not Allocated",IF(I206=1,"Allocated","Duplicate"))</f>
        <v/>
      </c>
    </row>
    <row r="207" hidden="1">
      <c r="A207" s="83" t="n">
        <v>949</v>
      </c>
      <c r="B207" s="80" t="inlineStr">
        <is>
          <t>EDWIN ALVARADO</t>
        </is>
      </c>
      <c r="C207" s="80" t="inlineStr">
        <is>
          <t>Activ</t>
        </is>
      </c>
      <c r="D207" s="80" t="inlineStr">
        <is>
          <t>DAVID HARTMAN</t>
        </is>
      </c>
      <c r="E207" s="80" t="inlineStr">
        <is>
          <t>STEPHANIE WEAVER</t>
        </is>
      </c>
      <c r="F207" s="80" t="inlineStr">
        <is>
          <t>MARISSA CROSS</t>
        </is>
      </c>
      <c r="G207" s="80" t="inlineStr">
        <is>
          <t>MARISSA CROSS</t>
        </is>
      </c>
      <c r="H207" s="80" t="inlineStr">
        <is>
          <t>220-2</t>
        </is>
      </c>
      <c r="I207" s="111">
        <f>COUNTIF(Tower_3!G:G,'All Associates'!A207)+COUNTIF(Tower_4!G:G,'All Associates'!A207)+COUNTIF(Tower_5!G:G,'All Associates'!A207)+COUNTIF(Tower_6!G:G,'All Associates'!A207)+COUNTIF(Riviera_3!G:G,'All Associates'!A207)+COUNTIF(Riviera_4!G:G,'All Associates'!A207)+COUNTIF(Riviera_5!G:G,'All Associates'!A207)</f>
        <v/>
      </c>
      <c r="J207" s="112">
        <f>IF(I207=0,"Not Allocated",IF(I207=1,"Allocated","Duplicate"))</f>
        <v/>
      </c>
    </row>
    <row r="208" hidden="1">
      <c r="A208" s="83" t="n">
        <v>988</v>
      </c>
      <c r="B208" s="80" t="inlineStr">
        <is>
          <t>JOE REED</t>
        </is>
      </c>
      <c r="C208" s="80" t="inlineStr">
        <is>
          <t>Activ</t>
        </is>
      </c>
      <c r="D208" s="80" t="inlineStr">
        <is>
          <t>AMBER TURNER</t>
        </is>
      </c>
      <c r="E208" s="80" t="inlineStr">
        <is>
          <t>OSCAR TYLER</t>
        </is>
      </c>
      <c r="F208" s="80" t="inlineStr">
        <is>
          <t>KENNETH CONRAD</t>
        </is>
      </c>
      <c r="G208" s="80" t="inlineStr">
        <is>
          <t>KENNETH CONRAD</t>
        </is>
      </c>
      <c r="H208" s="80" t="inlineStr">
        <is>
          <t>127-1</t>
        </is>
      </c>
      <c r="I208" s="111">
        <f>COUNTIF(Tower_3!G:G,'All Associates'!A208)+COUNTIF(Tower_4!G:G,'All Associates'!A208)+COUNTIF(Tower_5!G:G,'All Associates'!A208)+COUNTIF(Tower_6!G:G,'All Associates'!A208)+COUNTIF(Riviera_3!G:G,'All Associates'!A208)+COUNTIF(Riviera_4!G:G,'All Associates'!A208)+COUNTIF(Riviera_5!G:G,'All Associates'!A208)</f>
        <v/>
      </c>
      <c r="J208" s="112">
        <f>IF(I208=0,"Not Allocated",IF(I208=1,"Allocated","Duplicate"))</f>
        <v/>
      </c>
    </row>
    <row r="209" hidden="1">
      <c r="A209" s="83" t="n">
        <v>445</v>
      </c>
      <c r="B209" t="inlineStr">
        <is>
          <t>MICHAEL JONES</t>
        </is>
      </c>
      <c r="C209" s="86" t="inlineStr">
        <is>
          <t>Activ</t>
        </is>
      </c>
      <c r="D209" s="80" t="inlineStr">
        <is>
          <t>BETH TUCKER</t>
        </is>
      </c>
      <c r="E209" s="80" t="inlineStr">
        <is>
          <t>KIMBERLY CLARK</t>
        </is>
      </c>
      <c r="F209" s="80" t="inlineStr">
        <is>
          <t>KIMBERLY CLARK</t>
        </is>
      </c>
      <c r="G209" s="80" t="inlineStr">
        <is>
          <t>KIMBERLY CLARK</t>
        </is>
      </c>
      <c r="H209" s="80" t="inlineStr">
        <is>
          <t>156-2</t>
        </is>
      </c>
      <c r="I209" s="111">
        <f>COUNTIF(Tower_3!G:G,'All Associates'!A209)+COUNTIF(Tower_4!G:G,'All Associates'!A209)+COUNTIF(Tower_5!G:G,'All Associates'!A209)+COUNTIF(Tower_6!G:G,'All Associates'!A209)+COUNTIF(Riviera_3!G:G,'All Associates'!A209)+COUNTIF(Riviera_4!G:G,'All Associates'!A209)+COUNTIF(Riviera_5!G:G,'All Associates'!A209)</f>
        <v/>
      </c>
      <c r="J209" s="112">
        <f>IF(I209=0,"Not Allocated",IF(I209=1,"Allocated","Duplicate"))</f>
        <v/>
      </c>
    </row>
    <row r="210" hidden="1">
      <c r="A210" s="83" t="n">
        <v>829</v>
      </c>
      <c r="B210" s="80" t="inlineStr">
        <is>
          <t>DONALD ELLIOTT</t>
        </is>
      </c>
      <c r="C210" s="80" t="inlineStr">
        <is>
          <t>Activ</t>
        </is>
      </c>
      <c r="D210" s="80" t="inlineStr">
        <is>
          <t>SUMMER BARRETT</t>
        </is>
      </c>
      <c r="E210" s="80" t="inlineStr">
        <is>
          <t>ALEXANDER MILLER</t>
        </is>
      </c>
      <c r="F210" s="80" t="inlineStr">
        <is>
          <t>KIMBERLY CLARK</t>
        </is>
      </c>
      <c r="G210" s="80" t="inlineStr">
        <is>
          <t>ALEXANDER MILLER</t>
        </is>
      </c>
      <c r="H210" s="80" t="inlineStr">
        <is>
          <t>135-1</t>
        </is>
      </c>
      <c r="I210" s="111">
        <f>COUNTIF(Tower_3!G:G,'All Associates'!A210)+COUNTIF(Tower_4!G:G,'All Associates'!A210)+COUNTIF(Tower_5!G:G,'All Associates'!A210)+COUNTIF(Tower_6!G:G,'All Associates'!A210)+COUNTIF(Riviera_3!G:G,'All Associates'!A210)+COUNTIF(Riviera_4!G:G,'All Associates'!A210)+COUNTIF(Riviera_5!G:G,'All Associates'!A210)</f>
        <v/>
      </c>
      <c r="J210" s="112">
        <f>IF(I210=0,"Not Allocated",IF(I210=1,"Allocated","Duplicate"))</f>
        <v/>
      </c>
    </row>
    <row r="211" hidden="1">
      <c r="A211" s="83" t="n">
        <v>1204</v>
      </c>
      <c r="B211" s="80" t="inlineStr">
        <is>
          <t>JOSHUA MELTON</t>
        </is>
      </c>
      <c r="C211" s="80" t="inlineStr">
        <is>
          <t>Activ</t>
        </is>
      </c>
      <c r="D211" s="80" t="inlineStr">
        <is>
          <t>RUSSELL ROWE</t>
        </is>
      </c>
      <c r="E211" s="80" t="inlineStr">
        <is>
          <t>ALEXANDER BAUTISTA</t>
        </is>
      </c>
      <c r="F211" s="80" t="inlineStr">
        <is>
          <t>HEATHER SOLIS</t>
        </is>
      </c>
      <c r="G211" s="80" t="inlineStr">
        <is>
          <t>HEATHER SOLIS</t>
        </is>
      </c>
      <c r="H211" s="80" t="inlineStr">
        <is>
          <t>138-1</t>
        </is>
      </c>
      <c r="I211" s="111">
        <f>COUNTIF(Tower_3!G:G,'All Associates'!A211)+COUNTIF(Tower_4!G:G,'All Associates'!A211)+COUNTIF(Tower_5!G:G,'All Associates'!A211)+COUNTIF(Tower_6!G:G,'All Associates'!A211)+COUNTIF(Riviera_3!G:G,'All Associates'!A211)+COUNTIF(Riviera_4!G:G,'All Associates'!A211)+COUNTIF(Riviera_5!G:G,'All Associates'!A211)</f>
        <v/>
      </c>
      <c r="J211" s="112">
        <f>IF(I211=0,"Not Allocated",IF(I211=1,"Allocated","Duplicate"))</f>
        <v/>
      </c>
    </row>
    <row r="212" hidden="1">
      <c r="A212" s="83" t="n">
        <v>227</v>
      </c>
      <c r="B212" s="80" t="inlineStr">
        <is>
          <t>REBECCA MCKINNEY</t>
        </is>
      </c>
      <c r="C212" s="80" t="inlineStr">
        <is>
          <t>Activ</t>
        </is>
      </c>
      <c r="D212" s="80" t="inlineStr">
        <is>
          <t>ROBERT MUELLER</t>
        </is>
      </c>
      <c r="E212" s="80" t="inlineStr">
        <is>
          <t>CHAD PEREZ</t>
        </is>
      </c>
      <c r="F212" s="80" t="inlineStr">
        <is>
          <t>MARISSA CROSS</t>
        </is>
      </c>
      <c r="G212" s="80" t="inlineStr">
        <is>
          <t>MARISSA CROSS</t>
        </is>
      </c>
      <c r="H212" s="80" t="inlineStr">
        <is>
          <t>220-2</t>
        </is>
      </c>
      <c r="I212" s="111">
        <f>COUNTIF(Tower_3!G:G,'All Associates'!A212)+COUNTIF(Tower_4!G:G,'All Associates'!A212)+COUNTIF(Tower_5!G:G,'All Associates'!A212)+COUNTIF(Tower_6!G:G,'All Associates'!A212)+COUNTIF(Riviera_3!G:G,'All Associates'!A212)+COUNTIF(Riviera_4!G:G,'All Associates'!A212)+COUNTIF(Riviera_5!G:G,'All Associates'!A212)</f>
        <v/>
      </c>
      <c r="J212" s="112">
        <f>IF(I212=0,"Not Allocated",IF(I212=1,"Allocated","Duplicate"))</f>
        <v/>
      </c>
    </row>
    <row r="213" hidden="1">
      <c r="A213" s="83" t="n">
        <v>610</v>
      </c>
      <c r="B213" s="80" t="inlineStr">
        <is>
          <t>LYNN HARRISON</t>
        </is>
      </c>
      <c r="C213" s="80" t="inlineStr">
        <is>
          <t>Activ</t>
        </is>
      </c>
      <c r="D213" s="80" t="inlineStr">
        <is>
          <t>KENNETH CONRAD</t>
        </is>
      </c>
      <c r="E213" s="80" t="inlineStr">
        <is>
          <t>KIMBERLY CLARK</t>
        </is>
      </c>
      <c r="F213" s="80" t="inlineStr">
        <is>
          <t>KIMBERLY CLARK</t>
        </is>
      </c>
      <c r="G213" s="80" t="inlineStr">
        <is>
          <t>KENNETH CONRAD</t>
        </is>
      </c>
      <c r="H213" s="80" t="inlineStr">
        <is>
          <t>133-1</t>
        </is>
      </c>
      <c r="I213" s="111">
        <f>COUNTIF(Tower_3!G:G,'All Associates'!A213)+COUNTIF(Tower_4!G:G,'All Associates'!A213)+COUNTIF(Tower_5!G:G,'All Associates'!A213)+COUNTIF(Tower_6!G:G,'All Associates'!A213)+COUNTIF(Riviera_3!G:G,'All Associates'!A213)+COUNTIF(Riviera_4!G:G,'All Associates'!A213)+COUNTIF(Riviera_5!G:G,'All Associates'!A213)</f>
        <v/>
      </c>
      <c r="J213" s="112">
        <f>IF(I213=0,"Not Allocated",IF(I213=1,"Allocated","Duplicate"))</f>
        <v/>
      </c>
    </row>
    <row r="214" hidden="1">
      <c r="A214" s="83" t="n">
        <v>435</v>
      </c>
      <c r="B214" s="80" t="inlineStr">
        <is>
          <t>PAUL GOULD</t>
        </is>
      </c>
      <c r="C214" s="80" t="inlineStr">
        <is>
          <t>Activ</t>
        </is>
      </c>
      <c r="D214" s="80" t="inlineStr">
        <is>
          <t>PHILLIP TRAVIS</t>
        </is>
      </c>
      <c r="E214" s="80" t="inlineStr">
        <is>
          <t>KIMBERLY CLARK</t>
        </is>
      </c>
      <c r="F214" s="80" t="inlineStr">
        <is>
          <t>KIMBERLY CLARK</t>
        </is>
      </c>
      <c r="G214" s="80" t="inlineStr">
        <is>
          <t>PHILLIP TRAVIS</t>
        </is>
      </c>
      <c r="H214" s="80" t="inlineStr">
        <is>
          <t>156-1</t>
        </is>
      </c>
      <c r="I214" s="111">
        <f>COUNTIF(Tower_3!G:G,'All Associates'!A214)+COUNTIF(Tower_4!G:G,'All Associates'!A214)+COUNTIF(Tower_5!G:G,'All Associates'!A214)+COUNTIF(Tower_6!G:G,'All Associates'!A214)+COUNTIF(Riviera_3!G:G,'All Associates'!A214)+COUNTIF(Riviera_4!G:G,'All Associates'!A214)+COUNTIF(Riviera_5!G:G,'All Associates'!A214)</f>
        <v/>
      </c>
      <c r="J214" s="112">
        <f>IF(I214=0,"Not Allocated",IF(I214=1,"Allocated","Duplicate"))</f>
        <v/>
      </c>
    </row>
    <row r="215" hidden="1">
      <c r="A215" s="83" t="n">
        <v>1113</v>
      </c>
      <c r="B215" s="80" t="inlineStr">
        <is>
          <t>PETER STARK</t>
        </is>
      </c>
      <c r="C215" s="80" t="inlineStr">
        <is>
          <t>Activ</t>
        </is>
      </c>
      <c r="D215" s="80" t="inlineStr">
        <is>
          <t>CHAD PEREZ</t>
        </is>
      </c>
      <c r="E215" s="80" t="inlineStr">
        <is>
          <t>MARISSA CROSS</t>
        </is>
      </c>
      <c r="F215" s="80" t="inlineStr">
        <is>
          <t>KIMBERLY CLARK</t>
        </is>
      </c>
      <c r="G215" s="80" t="inlineStr">
        <is>
          <t>MARISSA CROSS</t>
        </is>
      </c>
      <c r="H215" s="80" t="inlineStr">
        <is>
          <t>220-2</t>
        </is>
      </c>
      <c r="I215" s="111">
        <f>COUNTIF(Tower_3!G:G,'All Associates'!A215)+COUNTIF(Tower_4!G:G,'All Associates'!A215)+COUNTIF(Tower_5!G:G,'All Associates'!A215)+COUNTIF(Tower_6!G:G,'All Associates'!A215)+COUNTIF(Riviera_3!G:G,'All Associates'!A215)+COUNTIF(Riviera_4!G:G,'All Associates'!A215)+COUNTIF(Riviera_5!G:G,'All Associates'!A215)</f>
        <v/>
      </c>
      <c r="J215" s="112">
        <f>IF(I215=0,"Not Allocated",IF(I215=1,"Allocated","Duplicate"))</f>
        <v/>
      </c>
    </row>
    <row r="216" hidden="1">
      <c r="A216" s="83" t="n">
        <v>925</v>
      </c>
      <c r="B216" s="80" t="inlineStr">
        <is>
          <t>DONALD PAUL</t>
        </is>
      </c>
      <c r="C216" s="80" t="inlineStr">
        <is>
          <t>Activ</t>
        </is>
      </c>
      <c r="D216" s="80" t="inlineStr">
        <is>
          <t>KIMBERLY CLARK</t>
        </is>
      </c>
      <c r="E216" s="80" t="inlineStr">
        <is>
          <t>KIMBERLY CLARK</t>
        </is>
      </c>
      <c r="F216" s="80" t="inlineStr">
        <is>
          <t>KIMBERLY CLARK</t>
        </is>
      </c>
      <c r="G216" s="80" t="inlineStr">
        <is>
          <t>KIMBERLY CLARK</t>
        </is>
      </c>
      <c r="H216" s="80" t="inlineStr">
        <is>
          <t>200-1</t>
        </is>
      </c>
      <c r="I216" s="111">
        <f>COUNTIF(Tower_3!G:G,'All Associates'!A216)+COUNTIF(Tower_4!G:G,'All Associates'!A216)+COUNTIF(Tower_5!G:G,'All Associates'!A216)+COUNTIF(Tower_6!G:G,'All Associates'!A216)+COUNTIF(Riviera_3!G:G,'All Associates'!A216)+COUNTIF(Riviera_4!G:G,'All Associates'!A216)+COUNTIF(Riviera_5!G:G,'All Associates'!A216)</f>
        <v/>
      </c>
      <c r="J216" s="112">
        <f>IF(I216=0,"Not Allocated",IF(I216=1,"Allocated","Duplicate"))</f>
        <v/>
      </c>
    </row>
    <row r="217" hidden="1">
      <c r="A217" s="83" t="n">
        <v>886</v>
      </c>
      <c r="B217" s="80" t="inlineStr">
        <is>
          <t>MARY VAUGHN</t>
        </is>
      </c>
      <c r="C217" s="80" t="inlineStr">
        <is>
          <t>Activ</t>
        </is>
      </c>
      <c r="D217" s="80" t="inlineStr">
        <is>
          <t>TIMOTHY WELCH</t>
        </is>
      </c>
      <c r="E217" s="80" t="inlineStr">
        <is>
          <t>CHAD PEREZ</t>
        </is>
      </c>
      <c r="F217" s="80" t="inlineStr">
        <is>
          <t>MARISSA CROSS</t>
        </is>
      </c>
      <c r="G217" s="80" t="inlineStr">
        <is>
          <t>MARISSA CROSS</t>
        </is>
      </c>
      <c r="H217" s="80" t="inlineStr">
        <is>
          <t>220-2</t>
        </is>
      </c>
      <c r="I217" s="111">
        <f>COUNTIF(Tower_3!G:G,'All Associates'!A217)+COUNTIF(Tower_4!G:G,'All Associates'!A217)+COUNTIF(Tower_5!G:G,'All Associates'!A217)+COUNTIF(Tower_6!G:G,'All Associates'!A217)+COUNTIF(Riviera_3!G:G,'All Associates'!A217)+COUNTIF(Riviera_4!G:G,'All Associates'!A217)+COUNTIF(Riviera_5!G:G,'All Associates'!A217)</f>
        <v/>
      </c>
      <c r="J217" s="112">
        <f>IF(I217=0,"Not Allocated",IF(I217=1,"Allocated","Duplicate"))</f>
        <v/>
      </c>
    </row>
    <row r="218">
      <c r="A218" s="90" t="n">
        <v>600</v>
      </c>
      <c r="B218" s="91" t="inlineStr">
        <is>
          <t>ADAM BAKER</t>
        </is>
      </c>
      <c r="C218" s="91" t="inlineStr">
        <is>
          <t>Suspendat</t>
        </is>
      </c>
      <c r="D218" s="91" t="inlineStr">
        <is>
          <t>MARISSA CROSS</t>
        </is>
      </c>
      <c r="E218" s="91" t="inlineStr">
        <is>
          <t>KIMBERLY CLARK</t>
        </is>
      </c>
      <c r="F218" s="91" t="inlineStr">
        <is>
          <t>KIMBERLY CLARK</t>
        </is>
      </c>
      <c r="G218" s="91" t="inlineStr">
        <is>
          <t>MARISSA CROSS</t>
        </is>
      </c>
      <c r="H218" s="91" t="inlineStr">
        <is>
          <t>220-2</t>
        </is>
      </c>
      <c r="I218" s="111">
        <f>COUNTIF(Tower_3!G:G,'All Associates'!A218)+COUNTIF(Tower_4!G:G,'All Associates'!A218)+COUNTIF(Tower_5!G:G,'All Associates'!A218)+COUNTIF(Tower_6!G:G,'All Associates'!A218)+COUNTIF(Riviera_3!G:G,'All Associates'!A218)+COUNTIF(Riviera_4!G:G,'All Associates'!A218)+COUNTIF(Riviera_5!G:G,'All Associates'!A218)</f>
        <v/>
      </c>
      <c r="J218" s="112">
        <f>IF(I218=0,"Not Allocated",IF(I218=1,"Allocated","Duplicate"))</f>
        <v/>
      </c>
    </row>
    <row r="219" hidden="1">
      <c r="A219" s="83" t="n">
        <v>640</v>
      </c>
      <c r="B219" s="80" t="inlineStr">
        <is>
          <t>ADAM ALLEN</t>
        </is>
      </c>
      <c r="C219" s="80" t="inlineStr">
        <is>
          <t>Activ</t>
        </is>
      </c>
      <c r="D219" s="80" t="inlineStr">
        <is>
          <t>CHRISTOPHER HUFFMAN</t>
        </is>
      </c>
      <c r="E219" s="80" t="inlineStr">
        <is>
          <t>CHARLES POWELL</t>
        </is>
      </c>
      <c r="F219" s="80" t="inlineStr">
        <is>
          <t>KIMBERLY CLARK</t>
        </is>
      </c>
      <c r="G219" s="80" t="inlineStr">
        <is>
          <t>CHARLES POWELL</t>
        </is>
      </c>
      <c r="H219" s="80" t="inlineStr">
        <is>
          <t>138-3</t>
        </is>
      </c>
      <c r="I219" s="111">
        <f>COUNTIF(Tower_3!G:G,'All Associates'!A219)+COUNTIF(Tower_4!G:G,'All Associates'!A219)+COUNTIF(Tower_5!G:G,'All Associates'!A219)+COUNTIF(Tower_6!G:G,'All Associates'!A219)+COUNTIF(Riviera_3!G:G,'All Associates'!A219)+COUNTIF(Riviera_4!G:G,'All Associates'!A219)+COUNTIF(Riviera_5!G:G,'All Associates'!A219)</f>
        <v/>
      </c>
      <c r="J219" s="112">
        <f>IF(I219=0,"Not Allocated",IF(I219=1,"Allocated","Duplicate"))</f>
        <v/>
      </c>
    </row>
    <row r="220" hidden="1">
      <c r="A220" s="83" t="n">
        <v>1069</v>
      </c>
      <c r="B220" s="80" t="inlineStr">
        <is>
          <t>SHANE VILLANUEVA</t>
        </is>
      </c>
      <c r="C220" s="80" t="inlineStr">
        <is>
          <t>Activ</t>
        </is>
      </c>
      <c r="D220" s="80" t="inlineStr">
        <is>
          <t>ASHLEY FRENCH</t>
        </is>
      </c>
      <c r="E220" s="80" t="inlineStr">
        <is>
          <t>PHILLIP TRAVIS</t>
        </is>
      </c>
      <c r="F220" s="80" t="inlineStr">
        <is>
          <t>KIMBERLY CLARK</t>
        </is>
      </c>
      <c r="G220" s="80" t="inlineStr">
        <is>
          <t>PHILLIP TRAVIS</t>
        </is>
      </c>
      <c r="H220" s="80" t="inlineStr">
        <is>
          <t>156-1</t>
        </is>
      </c>
      <c r="I220" s="111">
        <f>COUNTIF(Tower_3!G:G,'All Associates'!A220)+COUNTIF(Tower_4!G:G,'All Associates'!A220)+COUNTIF(Tower_5!G:G,'All Associates'!A220)+COUNTIF(Tower_6!G:G,'All Associates'!A220)+COUNTIF(Riviera_3!G:G,'All Associates'!A220)+COUNTIF(Riviera_4!G:G,'All Associates'!A220)+COUNTIF(Riviera_5!G:G,'All Associates'!A220)</f>
        <v/>
      </c>
      <c r="J220" s="112">
        <f>IF(I220=0,"Not Allocated",IF(I220=1,"Allocated","Duplicate"))</f>
        <v/>
      </c>
    </row>
    <row r="221" hidden="1">
      <c r="A221" s="83" t="n">
        <v>270</v>
      </c>
      <c r="B221" s="80" t="inlineStr">
        <is>
          <t>JEREMY MARSHALL</t>
        </is>
      </c>
      <c r="C221" s="80" t="inlineStr">
        <is>
          <t>Activ</t>
        </is>
      </c>
      <c r="D221" s="80" t="inlineStr">
        <is>
          <t>CHARLES POWELL</t>
        </is>
      </c>
      <c r="E221" s="80" t="inlineStr">
        <is>
          <t>KIMBERLY CLARK</t>
        </is>
      </c>
      <c r="F221" s="80" t="inlineStr">
        <is>
          <t>KIMBERLY CLARK</t>
        </is>
      </c>
      <c r="G221" s="80" t="inlineStr">
        <is>
          <t>CHARLES POWELL</t>
        </is>
      </c>
      <c r="H221" s="80" t="inlineStr">
        <is>
          <t>138-3</t>
        </is>
      </c>
      <c r="I221" s="111">
        <f>COUNTIF(Tower_3!G:G,'All Associates'!A221)+COUNTIF(Tower_4!G:G,'All Associates'!A221)+COUNTIF(Tower_5!G:G,'All Associates'!A221)+COUNTIF(Tower_6!G:G,'All Associates'!A221)+COUNTIF(Riviera_3!G:G,'All Associates'!A221)+COUNTIF(Riviera_4!G:G,'All Associates'!A221)+COUNTIF(Riviera_5!G:G,'All Associates'!A221)</f>
        <v/>
      </c>
      <c r="J221" s="112">
        <f>IF(I221=0,"Not Allocated",IF(I221=1,"Allocated","Duplicate"))</f>
        <v/>
      </c>
    </row>
    <row r="222" hidden="1">
      <c r="A222" s="83" t="n">
        <v>1088</v>
      </c>
      <c r="B222" s="80" t="inlineStr">
        <is>
          <t>MICHAEL HOUSE</t>
        </is>
      </c>
      <c r="C222" s="80" t="inlineStr">
        <is>
          <t>Activ</t>
        </is>
      </c>
      <c r="D222" s="80" t="inlineStr">
        <is>
          <t>MICHAEL ROSALES</t>
        </is>
      </c>
      <c r="E222" s="80" t="inlineStr">
        <is>
          <t>BETH TUCKER</t>
        </is>
      </c>
      <c r="F222" s="80" t="inlineStr">
        <is>
          <t>KIMBERLY CLARK</t>
        </is>
      </c>
      <c r="G222" s="80" t="inlineStr">
        <is>
          <t>KIMBERLY CLARK</t>
        </is>
      </c>
      <c r="H222" s="80" t="inlineStr">
        <is>
          <t>156-2</t>
        </is>
      </c>
      <c r="I222" s="111">
        <f>COUNTIF(Tower_3!G:G,'All Associates'!A222)+COUNTIF(Tower_4!G:G,'All Associates'!A222)+COUNTIF(Tower_5!G:G,'All Associates'!A222)+COUNTIF(Tower_6!G:G,'All Associates'!A222)+COUNTIF(Riviera_3!G:G,'All Associates'!A222)+COUNTIF(Riviera_4!G:G,'All Associates'!A222)+COUNTIF(Riviera_5!G:G,'All Associates'!A222)</f>
        <v/>
      </c>
      <c r="J222" s="112">
        <f>IF(I222=0,"Not Allocated",IF(I222=1,"Allocated","Duplicate"))</f>
        <v/>
      </c>
    </row>
    <row r="223" hidden="1">
      <c r="A223" s="83" t="n">
        <v>1105</v>
      </c>
      <c r="B223" s="80" t="inlineStr">
        <is>
          <t>DAVID DRAKE</t>
        </is>
      </c>
      <c r="C223" s="80" t="inlineStr">
        <is>
          <t>Activ</t>
        </is>
      </c>
      <c r="D223" s="80" t="inlineStr">
        <is>
          <t>RONALD LEWIS</t>
        </is>
      </c>
      <c r="E223" s="80" t="inlineStr">
        <is>
          <t>ADAM SMITH</t>
        </is>
      </c>
      <c r="F223" s="80" t="inlineStr">
        <is>
          <t>PHILLIP TRAVIS</t>
        </is>
      </c>
      <c r="G223" s="80" t="inlineStr">
        <is>
          <t>PHILLIP TRAVIS</t>
        </is>
      </c>
      <c r="H223" s="80" t="inlineStr">
        <is>
          <t>156-1</t>
        </is>
      </c>
      <c r="I223" s="111">
        <f>COUNTIF(Tower_3!G:G,'All Associates'!A223)+COUNTIF(Tower_4!G:G,'All Associates'!A223)+COUNTIF(Tower_5!G:G,'All Associates'!A223)+COUNTIF(Tower_6!G:G,'All Associates'!A223)+COUNTIF(Riviera_3!G:G,'All Associates'!A223)+COUNTIF(Riviera_4!G:G,'All Associates'!A223)+COUNTIF(Riviera_5!G:G,'All Associates'!A223)</f>
        <v/>
      </c>
      <c r="J223" s="112">
        <f>IF(I223=0,"Not Allocated",IF(I223=1,"Allocated","Duplicate"))</f>
        <v/>
      </c>
    </row>
    <row r="224" hidden="1">
      <c r="A224" s="83" t="n">
        <v>825</v>
      </c>
      <c r="B224" s="80" t="inlineStr">
        <is>
          <t>STEPHANIE ROGERS</t>
        </is>
      </c>
      <c r="C224" s="80" t="inlineStr">
        <is>
          <t>Activ</t>
        </is>
      </c>
      <c r="D224" s="80" t="inlineStr">
        <is>
          <t>MICHAEL ROSALES</t>
        </is>
      </c>
      <c r="E224" s="80" t="inlineStr">
        <is>
          <t>BETH TUCKER</t>
        </is>
      </c>
      <c r="F224" s="80" t="inlineStr">
        <is>
          <t>KIMBERLY CLARK</t>
        </is>
      </c>
      <c r="G224" s="80" t="inlineStr">
        <is>
          <t>KIMBERLY CLARK</t>
        </is>
      </c>
      <c r="H224" s="80" t="inlineStr">
        <is>
          <t>156-2</t>
        </is>
      </c>
      <c r="I224" s="111">
        <f>COUNTIF(Tower_3!G:G,'All Associates'!A224)+COUNTIF(Tower_4!G:G,'All Associates'!A224)+COUNTIF(Tower_5!G:G,'All Associates'!A224)+COUNTIF(Tower_6!G:G,'All Associates'!A224)+COUNTIF(Riviera_3!G:G,'All Associates'!A224)+COUNTIF(Riviera_4!G:G,'All Associates'!A224)+COUNTIF(Riviera_5!G:G,'All Associates'!A224)</f>
        <v/>
      </c>
      <c r="J224" s="112">
        <f>IF(I224=0,"Not Allocated",IF(I224=1,"Allocated","Duplicate"))</f>
        <v/>
      </c>
    </row>
    <row r="225" hidden="1">
      <c r="A225" s="83" t="n">
        <v>990</v>
      </c>
      <c r="B225" s="80" t="inlineStr">
        <is>
          <t>ELIZABETH HARRIS MD</t>
        </is>
      </c>
      <c r="C225" s="80" t="inlineStr">
        <is>
          <t>Activ</t>
        </is>
      </c>
      <c r="D225" s="80" t="inlineStr">
        <is>
          <t>DANIEL ALVAREZ</t>
        </is>
      </c>
      <c r="E225" s="80" t="inlineStr">
        <is>
          <t>ALEXANDER BAUTISTA</t>
        </is>
      </c>
      <c r="F225" s="80" t="inlineStr">
        <is>
          <t>HEATHER SOLIS</t>
        </is>
      </c>
      <c r="G225" s="80" t="inlineStr">
        <is>
          <t>HEATHER SOLIS</t>
        </is>
      </c>
      <c r="H225" s="80" t="inlineStr">
        <is>
          <t>138-1</t>
        </is>
      </c>
      <c r="I225" s="111">
        <f>COUNTIF(Tower_3!G:G,'All Associates'!A225)+COUNTIF(Tower_4!G:G,'All Associates'!A225)+COUNTIF(Tower_5!G:G,'All Associates'!A225)+COUNTIF(Tower_6!G:G,'All Associates'!A225)+COUNTIF(Riviera_3!G:G,'All Associates'!A225)+COUNTIF(Riviera_4!G:G,'All Associates'!A225)+COUNTIF(Riviera_5!G:G,'All Associates'!A225)</f>
        <v/>
      </c>
      <c r="J225" s="112">
        <f>IF(I225=0,"Not Allocated",IF(I225=1,"Allocated","Duplicate"))</f>
        <v/>
      </c>
    </row>
    <row r="226" hidden="1">
      <c r="A226" s="83" t="n">
        <v>567</v>
      </c>
      <c r="B226" s="80" t="inlineStr">
        <is>
          <t>DEBORAH HARRIS</t>
        </is>
      </c>
      <c r="C226" s="80" t="inlineStr">
        <is>
          <t>Activ</t>
        </is>
      </c>
      <c r="D226" s="80" t="inlineStr">
        <is>
          <t>AMY ACOSTA</t>
        </is>
      </c>
      <c r="E226" s="80" t="inlineStr">
        <is>
          <t>MARISSA CROSS</t>
        </is>
      </c>
      <c r="F226" s="80" t="inlineStr">
        <is>
          <t>KIMBERLY CLARK</t>
        </is>
      </c>
      <c r="G226" s="80" t="inlineStr">
        <is>
          <t>MARISSA CROSS</t>
        </is>
      </c>
      <c r="H226" s="80" t="inlineStr">
        <is>
          <t>220-2</t>
        </is>
      </c>
      <c r="I226" s="111">
        <f>COUNTIF(Tower_3!G:G,'All Associates'!A226)+COUNTIF(Tower_4!G:G,'All Associates'!A226)+COUNTIF(Tower_5!G:G,'All Associates'!A226)+COUNTIF(Tower_6!G:G,'All Associates'!A226)+COUNTIF(Riviera_3!G:G,'All Associates'!A226)+COUNTIF(Riviera_4!G:G,'All Associates'!A226)+COUNTIF(Riviera_5!G:G,'All Associates'!A226)</f>
        <v/>
      </c>
      <c r="J226" s="112">
        <f>IF(I226=0,"Not Allocated",IF(I226=1,"Allocated","Duplicate"))</f>
        <v/>
      </c>
    </row>
    <row r="227" hidden="1">
      <c r="A227" s="83" t="n">
        <v>65</v>
      </c>
      <c r="B227" s="80" t="inlineStr">
        <is>
          <t>ERIN BROOKS</t>
        </is>
      </c>
      <c r="C227" s="80" t="inlineStr">
        <is>
          <t>Activ</t>
        </is>
      </c>
      <c r="D227" s="80" t="inlineStr">
        <is>
          <t>CHELSEA CAMPBELL</t>
        </is>
      </c>
      <c r="E227" s="80" t="inlineStr">
        <is>
          <t>KENNETH CONRAD</t>
        </is>
      </c>
      <c r="F227" s="80" t="inlineStr">
        <is>
          <t>KIMBERLY CLARK</t>
        </is>
      </c>
      <c r="G227" s="80" t="inlineStr">
        <is>
          <t>KENNETH CONRAD</t>
        </is>
      </c>
      <c r="H227" s="80" t="inlineStr">
        <is>
          <t>133-1</t>
        </is>
      </c>
      <c r="I227" s="111">
        <f>COUNTIF(Tower_3!G:G,'All Associates'!A227)+COUNTIF(Tower_4!G:G,'All Associates'!A227)+COUNTIF(Tower_5!G:G,'All Associates'!A227)+COUNTIF(Tower_6!G:G,'All Associates'!A227)+COUNTIF(Riviera_3!G:G,'All Associates'!A227)+COUNTIF(Riviera_4!G:G,'All Associates'!A227)+COUNTIF(Riviera_5!G:G,'All Associates'!A227)</f>
        <v/>
      </c>
      <c r="J227" s="112">
        <f>IF(I227=0,"Not Allocated",IF(I227=1,"Allocated","Duplicate"))</f>
        <v/>
      </c>
    </row>
    <row r="228" hidden="1">
      <c r="A228" s="83" t="n">
        <v>827</v>
      </c>
      <c r="B228" s="80" t="inlineStr">
        <is>
          <t>MICHELLE COLEMAN</t>
        </is>
      </c>
      <c r="C228" s="80" t="inlineStr">
        <is>
          <t>Activ</t>
        </is>
      </c>
      <c r="D228" s="80" t="inlineStr">
        <is>
          <t>CYNTHIA STUART</t>
        </is>
      </c>
      <c r="E228" s="80" t="inlineStr">
        <is>
          <t>ALEXANDER BAUTISTA</t>
        </is>
      </c>
      <c r="F228" s="80" t="inlineStr">
        <is>
          <t>HEATHER SOLIS</t>
        </is>
      </c>
      <c r="G228" s="80" t="inlineStr">
        <is>
          <t>HEATHER SOLIS</t>
        </is>
      </c>
      <c r="H228" s="80" t="inlineStr">
        <is>
          <t>138-1</t>
        </is>
      </c>
      <c r="I228" s="111">
        <f>COUNTIF(Tower_3!G:G,'All Associates'!A228)+COUNTIF(Tower_4!G:G,'All Associates'!A228)+COUNTIF(Tower_5!G:G,'All Associates'!A228)+COUNTIF(Tower_6!G:G,'All Associates'!A228)+COUNTIF(Riviera_3!G:G,'All Associates'!A228)+COUNTIF(Riviera_4!G:G,'All Associates'!A228)+COUNTIF(Riviera_5!G:G,'All Associates'!A228)</f>
        <v/>
      </c>
      <c r="J228" s="112">
        <f>IF(I228=0,"Not Allocated",IF(I228=1,"Allocated","Duplicate"))</f>
        <v/>
      </c>
    </row>
    <row r="229" hidden="1">
      <c r="A229" s="83" t="n">
        <v>1084</v>
      </c>
      <c r="B229" s="80" t="inlineStr">
        <is>
          <t>MICHAEL GONZALEZ</t>
        </is>
      </c>
      <c r="C229" s="80" t="inlineStr">
        <is>
          <t>Activ</t>
        </is>
      </c>
      <c r="D229" s="80" t="inlineStr">
        <is>
          <t>PHILLIP TRAVIS</t>
        </is>
      </c>
      <c r="E229" s="80" t="inlineStr">
        <is>
          <t>KIMBERLY CLARK</t>
        </is>
      </c>
      <c r="F229" s="80" t="inlineStr">
        <is>
          <t>KIMBERLY CLARK</t>
        </is>
      </c>
      <c r="G229" s="80" t="inlineStr">
        <is>
          <t>PHILLIP TRAVIS</t>
        </is>
      </c>
      <c r="H229" s="80" t="inlineStr">
        <is>
          <t>156-1</t>
        </is>
      </c>
      <c r="I229" s="111">
        <f>COUNTIF(Tower_3!G:G,'All Associates'!A229)+COUNTIF(Tower_4!G:G,'All Associates'!A229)+COUNTIF(Tower_5!G:G,'All Associates'!A229)+COUNTIF(Tower_6!G:G,'All Associates'!A229)+COUNTIF(Riviera_3!G:G,'All Associates'!A229)+COUNTIF(Riviera_4!G:G,'All Associates'!A229)+COUNTIF(Riviera_5!G:G,'All Associates'!A229)</f>
        <v/>
      </c>
      <c r="J229" s="112">
        <f>IF(I229=0,"Not Allocated",IF(I229=1,"Allocated","Duplicate"))</f>
        <v/>
      </c>
    </row>
    <row r="230" hidden="1">
      <c r="A230" s="83" t="n">
        <v>621</v>
      </c>
      <c r="B230" s="80" t="inlineStr">
        <is>
          <t>JESSICA ROMAN</t>
        </is>
      </c>
      <c r="C230" s="80" t="inlineStr">
        <is>
          <t>Activ</t>
        </is>
      </c>
      <c r="D230" s="80" t="inlineStr">
        <is>
          <t>THERESA HENRY</t>
        </is>
      </c>
      <c r="E230" s="80" t="inlineStr">
        <is>
          <t>ASHLEY FRENCH</t>
        </is>
      </c>
      <c r="F230" s="80" t="inlineStr">
        <is>
          <t>PHILLIP TRAVIS</t>
        </is>
      </c>
      <c r="G230" s="80" t="inlineStr">
        <is>
          <t>PHILLIP TRAVIS</t>
        </is>
      </c>
      <c r="H230" s="80" t="inlineStr">
        <is>
          <t>156-1</t>
        </is>
      </c>
      <c r="I230" s="111">
        <f>COUNTIF(Tower_3!G:G,'All Associates'!A230)+COUNTIF(Tower_4!G:G,'All Associates'!A230)+COUNTIF(Tower_5!G:G,'All Associates'!A230)+COUNTIF(Tower_6!G:G,'All Associates'!A230)+COUNTIF(Riviera_3!G:G,'All Associates'!A230)+COUNTIF(Riviera_4!G:G,'All Associates'!A230)+COUNTIF(Riviera_5!G:G,'All Associates'!A230)</f>
        <v/>
      </c>
      <c r="J230" s="112">
        <f>IF(I230=0,"Not Allocated",IF(I230=1,"Allocated","Duplicate"))</f>
        <v/>
      </c>
    </row>
    <row r="231" hidden="1">
      <c r="A231" s="83" t="n">
        <v>1193</v>
      </c>
      <c r="B231" s="80" t="inlineStr">
        <is>
          <t>PHILIP CASTRO</t>
        </is>
      </c>
      <c r="C231" s="80" t="inlineStr">
        <is>
          <t>Activ</t>
        </is>
      </c>
      <c r="D231" s="80" t="inlineStr">
        <is>
          <t>DANIEL TAYLOR</t>
        </is>
      </c>
      <c r="E231" s="80" t="inlineStr">
        <is>
          <t>REBECCA VAUGHN</t>
        </is>
      </c>
      <c r="F231" s="80" t="inlineStr">
        <is>
          <t>MR. MICHAEL KELLY</t>
        </is>
      </c>
      <c r="G231" s="80" t="inlineStr">
        <is>
          <t>HEATHER SOLIS</t>
        </is>
      </c>
      <c r="H231" s="80" t="inlineStr">
        <is>
          <t>138-2</t>
        </is>
      </c>
      <c r="I231" s="111">
        <f>COUNTIF(Tower_3!G:G,'All Associates'!A231)+COUNTIF(Tower_4!G:G,'All Associates'!A231)+COUNTIF(Tower_5!G:G,'All Associates'!A231)+COUNTIF(Tower_6!G:G,'All Associates'!A231)+COUNTIF(Riviera_3!G:G,'All Associates'!A231)+COUNTIF(Riviera_4!G:G,'All Associates'!A231)+COUNTIF(Riviera_5!G:G,'All Associates'!A231)</f>
        <v/>
      </c>
      <c r="J231" s="112">
        <f>IF(I231=0,"Not Allocated",IF(I231=1,"Allocated","Duplicate"))</f>
        <v/>
      </c>
    </row>
    <row r="232" hidden="1">
      <c r="A232" s="83" t="n">
        <v>1238</v>
      </c>
      <c r="B232" s="80" t="inlineStr">
        <is>
          <t>CARL BRADLEY</t>
        </is>
      </c>
      <c r="C232" s="80" t="inlineStr">
        <is>
          <t>Activ</t>
        </is>
      </c>
      <c r="D232" s="80" t="inlineStr">
        <is>
          <t>ASHLEY FRENCH</t>
        </is>
      </c>
      <c r="E232" s="80" t="inlineStr">
        <is>
          <t>PHILLIP TRAVIS</t>
        </is>
      </c>
      <c r="F232" s="80" t="inlineStr">
        <is>
          <t>KIMBERLY CLARK</t>
        </is>
      </c>
      <c r="G232" s="80" t="inlineStr">
        <is>
          <t>PHILLIP TRAVIS</t>
        </is>
      </c>
      <c r="H232" s="80" t="inlineStr">
        <is>
          <t>156-1</t>
        </is>
      </c>
      <c r="I232" s="111">
        <f>COUNTIF(Tower_3!G:G,'All Associates'!A232)+COUNTIF(Tower_4!G:G,'All Associates'!A232)+COUNTIF(Tower_5!G:G,'All Associates'!A232)+COUNTIF(Tower_6!G:G,'All Associates'!A232)+COUNTIF(Riviera_3!G:G,'All Associates'!A232)+COUNTIF(Riviera_4!G:G,'All Associates'!A232)+COUNTIF(Riviera_5!G:G,'All Associates'!A232)</f>
        <v/>
      </c>
      <c r="J232" s="112">
        <f>IF(I232=0,"Not Allocated",IF(I232=1,"Allocated","Duplicate"))</f>
        <v/>
      </c>
    </row>
    <row r="233" hidden="1">
      <c r="A233" s="83" t="n">
        <v>288</v>
      </c>
      <c r="B233" s="80" t="inlineStr">
        <is>
          <t>VIRGINIA HOLLOWAY</t>
        </is>
      </c>
      <c r="C233" s="80" t="inlineStr">
        <is>
          <t>Activ</t>
        </is>
      </c>
      <c r="D233" s="80" t="inlineStr">
        <is>
          <t>REBECCA VAUGHN</t>
        </is>
      </c>
      <c r="E233" s="80" t="inlineStr">
        <is>
          <t>MR. MICHAEL KELLY</t>
        </is>
      </c>
      <c r="F233" s="80" t="inlineStr">
        <is>
          <t>HEATHER SOLIS</t>
        </is>
      </c>
      <c r="G233" s="80" t="inlineStr">
        <is>
          <t>HEATHER SOLIS</t>
        </is>
      </c>
      <c r="H233" s="80" t="inlineStr">
        <is>
          <t>138-2</t>
        </is>
      </c>
      <c r="I233" s="111">
        <f>COUNTIF(Tower_3!G:G,'All Associates'!A233)+COUNTIF(Tower_4!G:G,'All Associates'!A233)+COUNTIF(Tower_5!G:G,'All Associates'!A233)+COUNTIF(Tower_6!G:G,'All Associates'!A233)+COUNTIF(Riviera_3!G:G,'All Associates'!A233)+COUNTIF(Riviera_4!G:G,'All Associates'!A233)+COUNTIF(Riviera_5!G:G,'All Associates'!A233)</f>
        <v/>
      </c>
      <c r="J233" s="112">
        <f>IF(I233=0,"Not Allocated",IF(I233=1,"Allocated","Duplicate"))</f>
        <v/>
      </c>
    </row>
    <row r="234" hidden="1">
      <c r="A234" s="83" t="n">
        <v>1185</v>
      </c>
      <c r="B234" s="80" t="inlineStr">
        <is>
          <t>JAMIE MEYER</t>
        </is>
      </c>
      <c r="C234" s="80" t="inlineStr">
        <is>
          <t>Activ</t>
        </is>
      </c>
      <c r="D234" s="80" t="inlineStr">
        <is>
          <t>ALEXANDER BAUTISTA</t>
        </is>
      </c>
      <c r="E234" s="80" t="inlineStr">
        <is>
          <t>HEATHER SOLIS</t>
        </is>
      </c>
      <c r="F234" s="80" t="inlineStr">
        <is>
          <t>KIMBERLY CLARK</t>
        </is>
      </c>
      <c r="G234" s="80" t="inlineStr">
        <is>
          <t>HEATHER SOLIS</t>
        </is>
      </c>
      <c r="H234" s="80" t="inlineStr">
        <is>
          <t>138-1</t>
        </is>
      </c>
      <c r="I234" s="111">
        <f>COUNTIF(Tower_3!G:G,'All Associates'!A234)+COUNTIF(Tower_4!G:G,'All Associates'!A234)+COUNTIF(Tower_5!G:G,'All Associates'!A234)+COUNTIF(Tower_6!G:G,'All Associates'!A234)+COUNTIF(Riviera_3!G:G,'All Associates'!A234)+COUNTIF(Riviera_4!G:G,'All Associates'!A234)+COUNTIF(Riviera_5!G:G,'All Associates'!A234)</f>
        <v/>
      </c>
      <c r="J234" s="112">
        <f>IF(I234=0,"Not Allocated",IF(I234=1,"Allocated","Duplicate"))</f>
        <v/>
      </c>
    </row>
    <row r="235" hidden="1">
      <c r="A235" s="83" t="n">
        <v>1138</v>
      </c>
      <c r="B235" s="80" t="inlineStr">
        <is>
          <t>LAUREN LINDSEY</t>
        </is>
      </c>
      <c r="C235" s="80" t="inlineStr">
        <is>
          <t>Activ</t>
        </is>
      </c>
      <c r="D235" s="80" t="inlineStr">
        <is>
          <t>JOSHUA FRENCH</t>
        </is>
      </c>
      <c r="E235" s="80" t="inlineStr">
        <is>
          <t>STEPHANIE WEAVER</t>
        </is>
      </c>
      <c r="F235" s="80" t="inlineStr">
        <is>
          <t>MARISSA CROSS</t>
        </is>
      </c>
      <c r="G235" s="80" t="inlineStr">
        <is>
          <t>MARISSA CROSS</t>
        </is>
      </c>
      <c r="H235" s="80" t="inlineStr">
        <is>
          <t>220-2</t>
        </is>
      </c>
      <c r="I235" s="111">
        <f>COUNTIF(Tower_3!G:G,'All Associates'!A235)+COUNTIF(Tower_4!G:G,'All Associates'!A235)+COUNTIF(Tower_5!G:G,'All Associates'!A235)+COUNTIF(Tower_6!G:G,'All Associates'!A235)+COUNTIF(Riviera_3!G:G,'All Associates'!A235)+COUNTIF(Riviera_4!G:G,'All Associates'!A235)+COUNTIF(Riviera_5!G:G,'All Associates'!A235)</f>
        <v/>
      </c>
      <c r="J235" s="112">
        <f>IF(I235=0,"Not Allocated",IF(I235=1,"Allocated","Duplicate"))</f>
        <v/>
      </c>
    </row>
    <row r="236" hidden="1">
      <c r="A236" s="83" t="n">
        <v>194</v>
      </c>
      <c r="B236" s="80" t="inlineStr">
        <is>
          <t>JONATHAN CRAWFORD</t>
        </is>
      </c>
      <c r="C236" s="80" t="inlineStr">
        <is>
          <t>Activ</t>
        </is>
      </c>
      <c r="D236" s="80" t="inlineStr">
        <is>
          <t>ALEXANDER BAUTISTA</t>
        </is>
      </c>
      <c r="E236" s="80" t="inlineStr">
        <is>
          <t>HEATHER SOLIS</t>
        </is>
      </c>
      <c r="F236" s="80" t="inlineStr">
        <is>
          <t>KIMBERLY CLARK</t>
        </is>
      </c>
      <c r="G236" s="80" t="inlineStr">
        <is>
          <t>HEATHER SOLIS</t>
        </is>
      </c>
      <c r="H236" s="80" t="inlineStr">
        <is>
          <t>138-1</t>
        </is>
      </c>
      <c r="I236" s="111">
        <f>COUNTIF(Tower_3!G:G,'All Associates'!A236)+COUNTIF(Tower_4!G:G,'All Associates'!A236)+COUNTIF(Tower_5!G:G,'All Associates'!A236)+COUNTIF(Tower_6!G:G,'All Associates'!A236)+COUNTIF(Riviera_3!G:G,'All Associates'!A236)+COUNTIF(Riviera_4!G:G,'All Associates'!A236)+COUNTIF(Riviera_5!G:G,'All Associates'!A236)</f>
        <v/>
      </c>
      <c r="J236" s="112">
        <f>IF(I236=0,"Not Allocated",IF(I236=1,"Allocated","Duplicate"))</f>
        <v/>
      </c>
    </row>
    <row r="237" hidden="1">
      <c r="A237" s="83" t="n">
        <v>1219</v>
      </c>
      <c r="B237" s="80" t="inlineStr">
        <is>
          <t>KAYLA WRIGHT</t>
        </is>
      </c>
      <c r="C237" s="80" t="inlineStr">
        <is>
          <t>Activ</t>
        </is>
      </c>
      <c r="D237" s="80" t="inlineStr">
        <is>
          <t>CHRISTINA CHUNG</t>
        </is>
      </c>
      <c r="E237" s="80" t="inlineStr">
        <is>
          <t>CURTIS BROWN JR.</t>
        </is>
      </c>
      <c r="F237" s="80" t="inlineStr">
        <is>
          <t>KIMBERLY CLARK</t>
        </is>
      </c>
      <c r="G237" s="80" t="inlineStr">
        <is>
          <t>CURTIS BROWN JR.</t>
        </is>
      </c>
      <c r="H237" s="80" t="inlineStr">
        <is>
          <t>220-1</t>
        </is>
      </c>
      <c r="I237" s="111">
        <f>COUNTIF(Tower_3!G:G,'All Associates'!A237)+COUNTIF(Tower_4!G:G,'All Associates'!A237)+COUNTIF(Tower_5!G:G,'All Associates'!A237)+COUNTIF(Tower_6!G:G,'All Associates'!A237)+COUNTIF(Riviera_3!G:G,'All Associates'!A237)+COUNTIF(Riviera_4!G:G,'All Associates'!A237)+COUNTIF(Riviera_5!G:G,'All Associates'!A237)</f>
        <v/>
      </c>
      <c r="J237" s="112">
        <f>IF(I237=0,"Not Allocated",IF(I237=1,"Allocated","Duplicate"))</f>
        <v/>
      </c>
    </row>
    <row r="238" hidden="1">
      <c r="A238" s="83" t="n">
        <v>1236</v>
      </c>
      <c r="B238" s="80" t="inlineStr">
        <is>
          <t>JULIA SMITH</t>
        </is>
      </c>
      <c r="C238" s="80" t="inlineStr">
        <is>
          <t>Activ</t>
        </is>
      </c>
      <c r="D238" s="80" t="inlineStr">
        <is>
          <t>KIMBERLY SULLIVAN</t>
        </is>
      </c>
      <c r="E238" s="80" t="inlineStr">
        <is>
          <t>MR. MICHAEL KELLY</t>
        </is>
      </c>
      <c r="F238" s="80" t="inlineStr">
        <is>
          <t>HEATHER SOLIS</t>
        </is>
      </c>
      <c r="G238" s="80" t="inlineStr">
        <is>
          <t>HEATHER SOLIS</t>
        </is>
      </c>
      <c r="H238" s="80" t="inlineStr">
        <is>
          <t>138-2</t>
        </is>
      </c>
      <c r="I238" s="111">
        <f>COUNTIF(Tower_3!G:G,'All Associates'!A238)+COUNTIF(Tower_4!G:G,'All Associates'!A238)+COUNTIF(Tower_5!G:G,'All Associates'!A238)+COUNTIF(Tower_6!G:G,'All Associates'!A238)+COUNTIF(Riviera_3!G:G,'All Associates'!A238)+COUNTIF(Riviera_4!G:G,'All Associates'!A238)+COUNTIF(Riviera_5!G:G,'All Associates'!A238)</f>
        <v/>
      </c>
      <c r="J238" s="112">
        <f>IF(I238=0,"Not Allocated",IF(I238=1,"Allocated","Duplicate"))</f>
        <v/>
      </c>
    </row>
    <row r="239" hidden="1">
      <c r="A239" s="83" t="n">
        <v>979</v>
      </c>
      <c r="B239" s="80" t="inlineStr">
        <is>
          <t>JASON MILLER</t>
        </is>
      </c>
      <c r="C239" s="80" t="inlineStr">
        <is>
          <t>Activ</t>
        </is>
      </c>
      <c r="D239" s="80" t="inlineStr">
        <is>
          <t>LARRY KIM</t>
        </is>
      </c>
      <c r="E239" s="80" t="inlineStr">
        <is>
          <t>KENNETH CONRAD</t>
        </is>
      </c>
      <c r="F239" s="80" t="inlineStr">
        <is>
          <t>KIMBERLY CLARK</t>
        </is>
      </c>
      <c r="G239" s="80" t="inlineStr">
        <is>
          <t>KENNETH CONRAD</t>
        </is>
      </c>
      <c r="H239" s="80" t="inlineStr">
        <is>
          <t>127-1</t>
        </is>
      </c>
      <c r="I239" s="111">
        <f>COUNTIF(Tower_3!G:G,'All Associates'!A239)+COUNTIF(Tower_4!G:G,'All Associates'!A239)+COUNTIF(Tower_5!G:G,'All Associates'!A239)+COUNTIF(Tower_6!G:G,'All Associates'!A239)+COUNTIF(Riviera_3!G:G,'All Associates'!A239)+COUNTIF(Riviera_4!G:G,'All Associates'!A239)+COUNTIF(Riviera_5!G:G,'All Associates'!A239)</f>
        <v/>
      </c>
      <c r="J239" s="112">
        <f>IF(I239=0,"Not Allocated",IF(I239=1,"Allocated","Duplicate"))</f>
        <v/>
      </c>
    </row>
    <row r="240" hidden="1">
      <c r="A240" s="83" t="n">
        <v>817</v>
      </c>
      <c r="B240" s="80" t="inlineStr">
        <is>
          <t>PATRICIA WALSH</t>
        </is>
      </c>
      <c r="C240" s="80" t="inlineStr">
        <is>
          <t>Activ</t>
        </is>
      </c>
      <c r="D240" s="80" t="inlineStr">
        <is>
          <t>MS. KAITLIN WILKINSON</t>
        </is>
      </c>
      <c r="E240" s="80" t="inlineStr">
        <is>
          <t>ALEXANDER BAUTISTA</t>
        </is>
      </c>
      <c r="F240" s="80" t="inlineStr">
        <is>
          <t>HEATHER SOLIS</t>
        </is>
      </c>
      <c r="G240" s="80" t="inlineStr">
        <is>
          <t>HEATHER SOLIS</t>
        </is>
      </c>
      <c r="H240" s="80" t="inlineStr">
        <is>
          <t>138-1</t>
        </is>
      </c>
      <c r="I240" s="111">
        <f>COUNTIF(Tower_3!G:G,'All Associates'!A240)+COUNTIF(Tower_4!G:G,'All Associates'!A240)+COUNTIF(Tower_5!G:G,'All Associates'!A240)+COUNTIF(Tower_6!G:G,'All Associates'!A240)+COUNTIF(Riviera_3!G:G,'All Associates'!A240)+COUNTIF(Riviera_4!G:G,'All Associates'!A240)+COUNTIF(Riviera_5!G:G,'All Associates'!A240)</f>
        <v/>
      </c>
      <c r="J240" s="112">
        <f>IF(I240=0,"Not Allocated",IF(I240=1,"Allocated","Duplicate"))</f>
        <v/>
      </c>
    </row>
    <row r="241" hidden="1">
      <c r="A241" s="83" t="n">
        <v>1115</v>
      </c>
      <c r="B241" s="80" t="inlineStr">
        <is>
          <t>JACQUELINE RICE</t>
        </is>
      </c>
      <c r="C241" s="80" t="inlineStr">
        <is>
          <t>Activ</t>
        </is>
      </c>
      <c r="D241" s="80" t="inlineStr">
        <is>
          <t>JESSICA FERNANDEZ</t>
        </is>
      </c>
      <c r="E241" s="80" t="inlineStr">
        <is>
          <t>BRAD COOLEY</t>
        </is>
      </c>
      <c r="F241" s="80" t="inlineStr">
        <is>
          <t>MR. MICHAEL KELLY</t>
        </is>
      </c>
      <c r="G241" s="80" t="inlineStr">
        <is>
          <t>HEATHER SOLIS</t>
        </is>
      </c>
      <c r="H241" s="80" t="inlineStr">
        <is>
          <t>138-2</t>
        </is>
      </c>
      <c r="I241" s="111">
        <f>COUNTIF(Tower_3!G:G,'All Associates'!A241)+COUNTIF(Tower_4!G:G,'All Associates'!A241)+COUNTIF(Tower_5!G:G,'All Associates'!A241)+COUNTIF(Tower_6!G:G,'All Associates'!A241)+COUNTIF(Riviera_3!G:G,'All Associates'!A241)+COUNTIF(Riviera_4!G:G,'All Associates'!A241)+COUNTIF(Riviera_5!G:G,'All Associates'!A241)</f>
        <v/>
      </c>
      <c r="J241" s="112">
        <f>IF(I241=0,"Not Allocated",IF(I241=1,"Allocated","Duplicate"))</f>
        <v/>
      </c>
    </row>
    <row r="242" hidden="1">
      <c r="A242" s="83" t="n">
        <v>1191</v>
      </c>
      <c r="B242" s="80" t="inlineStr">
        <is>
          <t>JOSHUA COLLINS</t>
        </is>
      </c>
      <c r="C242" s="80" t="inlineStr">
        <is>
          <t>Activ</t>
        </is>
      </c>
      <c r="D242" s="80" t="inlineStr">
        <is>
          <t>CHARLES POWELL</t>
        </is>
      </c>
      <c r="E242" s="80" t="inlineStr">
        <is>
          <t>KIMBERLY CLARK</t>
        </is>
      </c>
      <c r="F242" s="80" t="inlineStr">
        <is>
          <t>KIMBERLY CLARK</t>
        </is>
      </c>
      <c r="G242" s="80" t="inlineStr">
        <is>
          <t>CHARLES POWELL</t>
        </is>
      </c>
      <c r="H242" s="80" t="inlineStr">
        <is>
          <t>180-1</t>
        </is>
      </c>
      <c r="I242" s="111">
        <f>COUNTIF(Tower_3!G:G,'All Associates'!A242)+COUNTIF(Tower_4!G:G,'All Associates'!A242)+COUNTIF(Tower_5!G:G,'All Associates'!A242)+COUNTIF(Tower_6!G:G,'All Associates'!A242)+COUNTIF(Riviera_3!G:G,'All Associates'!A242)+COUNTIF(Riviera_4!G:G,'All Associates'!A242)+COUNTIF(Riviera_5!G:G,'All Associates'!A242)</f>
        <v/>
      </c>
      <c r="J242" s="112">
        <f>IF(I242=0,"Not Allocated",IF(I242=1,"Allocated","Duplicate"))</f>
        <v/>
      </c>
    </row>
    <row r="243" hidden="1">
      <c r="A243" s="83" t="n">
        <v>933</v>
      </c>
      <c r="B243" s="80" t="inlineStr">
        <is>
          <t>EDWARD HORN MD</t>
        </is>
      </c>
      <c r="C243" s="80" t="inlineStr">
        <is>
          <t>Activ</t>
        </is>
      </c>
      <c r="D243" s="80" t="inlineStr">
        <is>
          <t>JEFFERY MOYER</t>
        </is>
      </c>
      <c r="E243" s="80" t="inlineStr">
        <is>
          <t>KENNETH CONRAD</t>
        </is>
      </c>
      <c r="F243" s="80" t="inlineStr">
        <is>
          <t>KIMBERLY CLARK</t>
        </is>
      </c>
      <c r="G243" s="80" t="inlineStr">
        <is>
          <t>KENNETH CONRAD</t>
        </is>
      </c>
      <c r="H243" s="80" t="inlineStr">
        <is>
          <t>133-1</t>
        </is>
      </c>
      <c r="I243" s="111">
        <f>COUNTIF(Tower_3!G:G,'All Associates'!A243)+COUNTIF(Tower_4!G:G,'All Associates'!A243)+COUNTIF(Tower_5!G:G,'All Associates'!A243)+COUNTIF(Tower_6!G:G,'All Associates'!A243)+COUNTIF(Riviera_3!G:G,'All Associates'!A243)+COUNTIF(Riviera_4!G:G,'All Associates'!A243)+COUNTIF(Riviera_5!G:G,'All Associates'!A243)</f>
        <v/>
      </c>
      <c r="J243" s="112">
        <f>IF(I243=0,"Not Allocated",IF(I243=1,"Allocated","Duplicate"))</f>
        <v/>
      </c>
    </row>
    <row r="244">
      <c r="A244" s="84" t="n">
        <v>676</v>
      </c>
      <c r="B244" s="81" t="inlineStr">
        <is>
          <t>DENISE TORRES</t>
        </is>
      </c>
      <c r="C244" s="81" t="inlineStr">
        <is>
          <t>Activ</t>
        </is>
      </c>
      <c r="D244" s="81" t="inlineStr">
        <is>
          <t>ALICIA WOODS</t>
        </is>
      </c>
      <c r="E244" s="81" t="inlineStr">
        <is>
          <t>KIMBERLY CLARK</t>
        </is>
      </c>
      <c r="F244" s="81" t="inlineStr">
        <is>
          <t>KIMBERLY CLARK</t>
        </is>
      </c>
      <c r="G244" s="81" t="inlineStr">
        <is>
          <t>KIMBERLY CLARK</t>
        </is>
      </c>
      <c r="H244" s="81" t="inlineStr">
        <is>
          <t>411-1</t>
        </is>
      </c>
      <c r="I244" s="111">
        <f>COUNTIF(Tower_3!G:G,'All Associates'!A244)+COUNTIF(Tower_4!G:G,'All Associates'!A244)+COUNTIF(Tower_5!G:G,'All Associates'!A244)+COUNTIF(Tower_6!G:G,'All Associates'!A244)+COUNTIF(Riviera_3!G:G,'All Associates'!A244)+COUNTIF(Riviera_4!G:G,'All Associates'!A244)+COUNTIF(Riviera_5!G:G,'All Associates'!A244)</f>
        <v/>
      </c>
      <c r="J244" s="112">
        <f>IF(I244=0,"Not Allocated",IF(I244=1,"Allocated","Duplicate"))</f>
        <v/>
      </c>
    </row>
    <row r="245" hidden="1">
      <c r="A245" s="83" t="n">
        <v>761</v>
      </c>
      <c r="B245" s="80" t="inlineStr">
        <is>
          <t>ANGELA MORENO</t>
        </is>
      </c>
      <c r="C245" s="80" t="inlineStr">
        <is>
          <t>Activ</t>
        </is>
      </c>
      <c r="D245" s="80" t="inlineStr">
        <is>
          <t>BETH TUCKER</t>
        </is>
      </c>
      <c r="E245" s="80" t="inlineStr">
        <is>
          <t>KIMBERLY CLARK</t>
        </is>
      </c>
      <c r="F245" s="80" t="inlineStr">
        <is>
          <t>KIMBERLY CLARK</t>
        </is>
      </c>
      <c r="G245" s="80" t="inlineStr">
        <is>
          <t>KIMBERLY CLARK</t>
        </is>
      </c>
      <c r="H245" s="80" t="inlineStr">
        <is>
          <t>156-2</t>
        </is>
      </c>
      <c r="I245" s="111">
        <f>COUNTIF(Tower_3!G:G,'All Associates'!A245)+COUNTIF(Tower_4!G:G,'All Associates'!A245)+COUNTIF(Tower_5!G:G,'All Associates'!A245)+COUNTIF(Tower_6!G:G,'All Associates'!A245)+COUNTIF(Riviera_3!G:G,'All Associates'!A245)+COUNTIF(Riviera_4!G:G,'All Associates'!A245)+COUNTIF(Riviera_5!G:G,'All Associates'!A245)</f>
        <v/>
      </c>
      <c r="J245" s="112">
        <f>IF(I245=0,"Not Allocated",IF(I245=1,"Allocated","Duplicate"))</f>
        <v/>
      </c>
    </row>
    <row r="246" hidden="1">
      <c r="A246" s="83" t="n">
        <v>941</v>
      </c>
      <c r="B246" s="80" t="inlineStr">
        <is>
          <t>CLINTON CARRILLO</t>
        </is>
      </c>
      <c r="C246" s="80" t="inlineStr">
        <is>
          <t>Activ</t>
        </is>
      </c>
      <c r="D246" s="80" t="inlineStr">
        <is>
          <t>JULIE MARTIN MD</t>
        </is>
      </c>
      <c r="E246" s="80" t="inlineStr">
        <is>
          <t>KIMBERLY CLARK</t>
        </is>
      </c>
      <c r="F246" s="80" t="inlineStr">
        <is>
          <t>KIMBERLY CLARK</t>
        </is>
      </c>
      <c r="G246" s="80" t="inlineStr">
        <is>
          <t>KIMBERLY CLARK</t>
        </is>
      </c>
      <c r="H246" s="80" t="inlineStr">
        <is>
          <t>210-1</t>
        </is>
      </c>
      <c r="I246" s="111">
        <f>COUNTIF(Tower_3!G:G,'All Associates'!A246)+COUNTIF(Tower_4!G:G,'All Associates'!A246)+COUNTIF(Tower_5!G:G,'All Associates'!A246)+COUNTIF(Tower_6!G:G,'All Associates'!A246)+COUNTIF(Riviera_3!G:G,'All Associates'!A246)+COUNTIF(Riviera_4!G:G,'All Associates'!A246)+COUNTIF(Riviera_5!G:G,'All Associates'!A246)</f>
        <v/>
      </c>
      <c r="J246" s="112">
        <f>IF(I246=0,"Not Allocated",IF(I246=1,"Allocated","Duplicate"))</f>
        <v/>
      </c>
    </row>
    <row r="247" hidden="1">
      <c r="A247" s="83" t="n">
        <v>959</v>
      </c>
      <c r="B247" s="80" t="inlineStr">
        <is>
          <t>DANA SANCHEZ</t>
        </is>
      </c>
      <c r="C247" s="80" t="inlineStr">
        <is>
          <t>Activ</t>
        </is>
      </c>
      <c r="D247" s="80" t="inlineStr">
        <is>
          <t>CRYSTAL HOLLAND</t>
        </is>
      </c>
      <c r="E247" s="80" t="inlineStr">
        <is>
          <t>ALEXANDER MILLER</t>
        </is>
      </c>
      <c r="F247" s="80" t="inlineStr">
        <is>
          <t>KIMBERLY CLARK</t>
        </is>
      </c>
      <c r="G247" s="80" t="inlineStr">
        <is>
          <t>ALEXANDER MILLER</t>
        </is>
      </c>
      <c r="H247" s="80" t="inlineStr">
        <is>
          <t>135-1</t>
        </is>
      </c>
      <c r="I247" s="111">
        <f>COUNTIF(Tower_3!G:G,'All Associates'!A247)+COUNTIF(Tower_4!G:G,'All Associates'!A247)+COUNTIF(Tower_5!G:G,'All Associates'!A247)+COUNTIF(Tower_6!G:G,'All Associates'!A247)+COUNTIF(Riviera_3!G:G,'All Associates'!A247)+COUNTIF(Riviera_4!G:G,'All Associates'!A247)+COUNTIF(Riviera_5!G:G,'All Associates'!A247)</f>
        <v/>
      </c>
      <c r="J247" s="112">
        <f>IF(I247=0,"Not Allocated",IF(I247=1,"Allocated","Duplicate"))</f>
        <v/>
      </c>
    </row>
    <row r="248" hidden="1">
      <c r="A248" s="83" t="n">
        <v>1149</v>
      </c>
      <c r="B248" s="80" t="inlineStr">
        <is>
          <t>YESENIA DAVIS</t>
        </is>
      </c>
      <c r="C248" s="80" t="inlineStr">
        <is>
          <t>Activ</t>
        </is>
      </c>
      <c r="D248" s="80" t="inlineStr">
        <is>
          <t>CURTIS BROWN JR.</t>
        </is>
      </c>
      <c r="E248" s="80" t="inlineStr">
        <is>
          <t>KIMBERLY CLARK</t>
        </is>
      </c>
      <c r="F248" s="80" t="inlineStr">
        <is>
          <t>KIMBERLY CLARK</t>
        </is>
      </c>
      <c r="G248" s="80" t="inlineStr">
        <is>
          <t>CURTIS BROWN JR.</t>
        </is>
      </c>
      <c r="H248" s="80" t="inlineStr">
        <is>
          <t>220-1</t>
        </is>
      </c>
      <c r="I248" s="111">
        <f>COUNTIF(Tower_3!G:G,'All Associates'!A248)+COUNTIF(Tower_4!G:G,'All Associates'!A248)+COUNTIF(Tower_5!G:G,'All Associates'!A248)+COUNTIF(Tower_6!G:G,'All Associates'!A248)+COUNTIF(Riviera_3!G:G,'All Associates'!A248)+COUNTIF(Riviera_4!G:G,'All Associates'!A248)+COUNTIF(Riviera_5!G:G,'All Associates'!A248)</f>
        <v/>
      </c>
      <c r="J248" s="112">
        <f>IF(I248=0,"Not Allocated",IF(I248=1,"Allocated","Duplicate"))</f>
        <v/>
      </c>
    </row>
    <row r="249" hidden="1">
      <c r="A249" s="83" t="n">
        <v>1169</v>
      </c>
      <c r="B249" s="80" t="inlineStr">
        <is>
          <t>ALYSSA GAINES</t>
        </is>
      </c>
      <c r="C249" s="80" t="inlineStr">
        <is>
          <t>Activ</t>
        </is>
      </c>
      <c r="D249" s="80" t="inlineStr">
        <is>
          <t>JEFFERY MOYER</t>
        </is>
      </c>
      <c r="E249" s="80" t="inlineStr">
        <is>
          <t>KENNETH CONRAD</t>
        </is>
      </c>
      <c r="F249" s="80" t="inlineStr">
        <is>
          <t>KIMBERLY CLARK</t>
        </is>
      </c>
      <c r="G249" s="80" t="inlineStr">
        <is>
          <t>KENNETH CONRAD</t>
        </is>
      </c>
      <c r="H249" s="80" t="inlineStr">
        <is>
          <t>133-1</t>
        </is>
      </c>
      <c r="I249" s="111">
        <f>COUNTIF(Tower_3!G:G,'All Associates'!A249)+COUNTIF(Tower_4!G:G,'All Associates'!A249)+COUNTIF(Tower_5!G:G,'All Associates'!A249)+COUNTIF(Tower_6!G:G,'All Associates'!A249)+COUNTIF(Riviera_3!G:G,'All Associates'!A249)+COUNTIF(Riviera_4!G:G,'All Associates'!A249)+COUNTIF(Riviera_5!G:G,'All Associates'!A249)</f>
        <v/>
      </c>
      <c r="J249" s="112">
        <f>IF(I249=0,"Not Allocated",IF(I249=1,"Allocated","Duplicate"))</f>
        <v/>
      </c>
    </row>
    <row r="250" hidden="1">
      <c r="A250" s="83" t="n">
        <v>1224</v>
      </c>
      <c r="B250" s="80" t="inlineStr">
        <is>
          <t>JOHN SERRANO</t>
        </is>
      </c>
      <c r="C250" s="80" t="inlineStr">
        <is>
          <t>Activ</t>
        </is>
      </c>
      <c r="D250" s="80" t="inlineStr">
        <is>
          <t>PHILLIP TRAVIS</t>
        </is>
      </c>
      <c r="E250" s="80" t="inlineStr">
        <is>
          <t>KIMBERLY CLARK</t>
        </is>
      </c>
      <c r="F250" s="80" t="inlineStr">
        <is>
          <t>KIMBERLY CLARK</t>
        </is>
      </c>
      <c r="G250" s="80" t="inlineStr">
        <is>
          <t>PHILLIP TRAVIS</t>
        </is>
      </c>
      <c r="H250" s="80" t="inlineStr">
        <is>
          <t>156-1</t>
        </is>
      </c>
      <c r="I250" s="111">
        <f>COUNTIF(Tower_3!G:G,'All Associates'!A250)+COUNTIF(Tower_4!G:G,'All Associates'!A250)+COUNTIF(Tower_5!G:G,'All Associates'!A250)+COUNTIF(Tower_6!G:G,'All Associates'!A250)+COUNTIF(Riviera_3!G:G,'All Associates'!A250)+COUNTIF(Riviera_4!G:G,'All Associates'!A250)+COUNTIF(Riviera_5!G:G,'All Associates'!A250)</f>
        <v/>
      </c>
      <c r="J250" s="112">
        <f>IF(I250=0,"Not Allocated",IF(I250=1,"Allocated","Duplicate"))</f>
        <v/>
      </c>
    </row>
    <row r="251" hidden="1">
      <c r="A251" s="83" t="n">
        <v>935</v>
      </c>
      <c r="B251" s="80" t="inlineStr">
        <is>
          <t>FRANK CARLSON</t>
        </is>
      </c>
      <c r="C251" s="80" t="inlineStr">
        <is>
          <t>Activ</t>
        </is>
      </c>
      <c r="D251" s="80" t="inlineStr">
        <is>
          <t>HOLLY WALKER</t>
        </is>
      </c>
      <c r="E251" s="80" t="inlineStr">
        <is>
          <t>DOROTHY MARSHALL</t>
        </is>
      </c>
      <c r="F251" s="80" t="inlineStr">
        <is>
          <t>KIMBERLY CLARK</t>
        </is>
      </c>
      <c r="G251" s="80" t="inlineStr">
        <is>
          <t>KIMBERLY CLARK</t>
        </is>
      </c>
      <c r="H251" s="80" t="inlineStr">
        <is>
          <t>230-1</t>
        </is>
      </c>
      <c r="I251" s="111">
        <f>COUNTIF(Tower_3!G:G,'All Associates'!A251)+COUNTIF(Tower_4!G:G,'All Associates'!A251)+COUNTIF(Tower_5!G:G,'All Associates'!A251)+COUNTIF(Tower_6!G:G,'All Associates'!A251)+COUNTIF(Riviera_3!G:G,'All Associates'!A251)+COUNTIF(Riviera_4!G:G,'All Associates'!A251)+COUNTIF(Riviera_5!G:G,'All Associates'!A251)</f>
        <v/>
      </c>
      <c r="J251" s="112">
        <f>IF(I251=0,"Not Allocated",IF(I251=1,"Allocated","Duplicate"))</f>
        <v/>
      </c>
    </row>
    <row r="252" hidden="1">
      <c r="A252" s="83" t="n">
        <v>405</v>
      </c>
      <c r="B252" s="80" t="inlineStr">
        <is>
          <t>GINA BENITEZ</t>
        </is>
      </c>
      <c r="C252" s="80" t="inlineStr">
        <is>
          <t>Activ</t>
        </is>
      </c>
      <c r="D252" s="80" t="inlineStr">
        <is>
          <t>REBECCA VAUGHN</t>
        </is>
      </c>
      <c r="E252" s="80" t="inlineStr">
        <is>
          <t>MR. MICHAEL KELLY</t>
        </is>
      </c>
      <c r="F252" s="80" t="inlineStr">
        <is>
          <t>HEATHER SOLIS</t>
        </is>
      </c>
      <c r="G252" s="80" t="inlineStr">
        <is>
          <t>HEATHER SOLIS</t>
        </is>
      </c>
      <c r="H252" s="80" t="inlineStr">
        <is>
          <t>138-2</t>
        </is>
      </c>
      <c r="I252" s="111">
        <f>COUNTIF(Tower_3!G:G,'All Associates'!A252)+COUNTIF(Tower_4!G:G,'All Associates'!A252)+COUNTIF(Tower_5!G:G,'All Associates'!A252)+COUNTIF(Tower_6!G:G,'All Associates'!A252)+COUNTIF(Riviera_3!G:G,'All Associates'!A252)+COUNTIF(Riviera_4!G:G,'All Associates'!A252)+COUNTIF(Riviera_5!G:G,'All Associates'!A252)</f>
        <v/>
      </c>
      <c r="J252" s="112">
        <f>IF(I252=0,"Not Allocated",IF(I252=1,"Allocated","Duplicate"))</f>
        <v/>
      </c>
    </row>
    <row r="253" hidden="1">
      <c r="A253" s="83" t="n">
        <v>606</v>
      </c>
      <c r="B253" s="80" t="inlineStr">
        <is>
          <t>ELIJAH JENNINGS</t>
        </is>
      </c>
      <c r="C253" s="80" t="inlineStr">
        <is>
          <t>Activ</t>
        </is>
      </c>
      <c r="D253" s="80" t="inlineStr">
        <is>
          <t>PETER ROBINSON</t>
        </is>
      </c>
      <c r="E253" s="80" t="inlineStr">
        <is>
          <t>MR. MICHAEL KELLY</t>
        </is>
      </c>
      <c r="F253" s="80" t="inlineStr">
        <is>
          <t>HEATHER SOLIS</t>
        </is>
      </c>
      <c r="G253" s="80" t="inlineStr">
        <is>
          <t>HEATHER SOLIS</t>
        </is>
      </c>
      <c r="H253" s="80" t="inlineStr">
        <is>
          <t>138-2</t>
        </is>
      </c>
      <c r="I253" s="111">
        <f>COUNTIF(Tower_3!G:G,'All Associates'!A253)+COUNTIF(Tower_4!G:G,'All Associates'!A253)+COUNTIF(Tower_5!G:G,'All Associates'!A253)+COUNTIF(Tower_6!G:G,'All Associates'!A253)+COUNTIF(Riviera_3!G:G,'All Associates'!A253)+COUNTIF(Riviera_4!G:G,'All Associates'!A253)+COUNTIF(Riviera_5!G:G,'All Associates'!A253)</f>
        <v/>
      </c>
      <c r="J253" s="112">
        <f>IF(I253=0,"Not Allocated",IF(I253=1,"Allocated","Duplicate"))</f>
        <v/>
      </c>
    </row>
    <row r="254" hidden="1">
      <c r="A254" s="83" t="n">
        <v>613</v>
      </c>
      <c r="B254" s="80" t="inlineStr">
        <is>
          <t>JOSEPH GREEN</t>
        </is>
      </c>
      <c r="C254" s="80" t="inlineStr">
        <is>
          <t>Activ</t>
        </is>
      </c>
      <c r="D254" s="80" t="inlineStr">
        <is>
          <t>BETH TUCKER</t>
        </is>
      </c>
      <c r="E254" s="80" t="inlineStr">
        <is>
          <t>KIMBERLY CLARK</t>
        </is>
      </c>
      <c r="F254" s="80" t="inlineStr">
        <is>
          <t>KIMBERLY CLARK</t>
        </is>
      </c>
      <c r="G254" s="80" t="inlineStr">
        <is>
          <t>KIMBERLY CLARK</t>
        </is>
      </c>
      <c r="H254" s="80" t="inlineStr">
        <is>
          <t>156-2</t>
        </is>
      </c>
      <c r="I254" s="111">
        <f>COUNTIF(Tower_3!G:G,'All Associates'!A254)+COUNTIF(Tower_4!G:G,'All Associates'!A254)+COUNTIF(Tower_5!G:G,'All Associates'!A254)+COUNTIF(Tower_6!G:G,'All Associates'!A254)+COUNTIF(Riviera_3!G:G,'All Associates'!A254)+COUNTIF(Riviera_4!G:G,'All Associates'!A254)+COUNTIF(Riviera_5!G:G,'All Associates'!A254)</f>
        <v/>
      </c>
      <c r="J254" s="112">
        <f>IF(I254=0,"Not Allocated",IF(I254=1,"Allocated","Duplicate"))</f>
        <v/>
      </c>
    </row>
    <row r="255" hidden="1">
      <c r="A255" s="83" t="n">
        <v>1091</v>
      </c>
      <c r="B255" s="80" t="inlineStr">
        <is>
          <t>WILLIAM BENTLEY</t>
        </is>
      </c>
      <c r="C255" s="80" t="inlineStr">
        <is>
          <t>Activ</t>
        </is>
      </c>
      <c r="D255" s="80" t="inlineStr">
        <is>
          <t>CHRISTOPHER HUFFMAN</t>
        </is>
      </c>
      <c r="E255" s="80" t="inlineStr">
        <is>
          <t>CHARLES POWELL</t>
        </is>
      </c>
      <c r="F255" s="80" t="inlineStr">
        <is>
          <t>KIMBERLY CLARK</t>
        </is>
      </c>
      <c r="G255" s="80" t="inlineStr">
        <is>
          <t>CHARLES POWELL</t>
        </is>
      </c>
      <c r="H255" s="80" t="inlineStr">
        <is>
          <t>138-3</t>
        </is>
      </c>
      <c r="I255" s="111">
        <f>COUNTIF(Tower_3!G:G,'All Associates'!A255)+COUNTIF(Tower_4!G:G,'All Associates'!A255)+COUNTIF(Tower_5!G:G,'All Associates'!A255)+COUNTIF(Tower_6!G:G,'All Associates'!A255)+COUNTIF(Riviera_3!G:G,'All Associates'!A255)+COUNTIF(Riviera_4!G:G,'All Associates'!A255)+COUNTIF(Riviera_5!G:G,'All Associates'!A255)</f>
        <v/>
      </c>
      <c r="J255" s="112">
        <f>IF(I255=0,"Not Allocated",IF(I255=1,"Allocated","Duplicate"))</f>
        <v/>
      </c>
    </row>
    <row r="256" hidden="1">
      <c r="A256" s="83" t="n">
        <v>1025</v>
      </c>
      <c r="B256" s="80" t="inlineStr">
        <is>
          <t>KATHERINE RICHARDSON</t>
        </is>
      </c>
      <c r="C256" s="80" t="inlineStr">
        <is>
          <t>Activ</t>
        </is>
      </c>
      <c r="D256" s="80" t="inlineStr">
        <is>
          <t>BETH TUCKER</t>
        </is>
      </c>
      <c r="E256" s="80" t="inlineStr">
        <is>
          <t>KIMBERLY CLARK</t>
        </is>
      </c>
      <c r="F256" s="80" t="inlineStr">
        <is>
          <t>KIMBERLY CLARK</t>
        </is>
      </c>
      <c r="G256" s="80" t="inlineStr">
        <is>
          <t>KIMBERLY CLARK</t>
        </is>
      </c>
      <c r="H256" s="80" t="inlineStr">
        <is>
          <t>156-2</t>
        </is>
      </c>
      <c r="I256" s="111">
        <f>COUNTIF(Tower_3!G:G,'All Associates'!A256)+COUNTIF(Tower_4!G:G,'All Associates'!A256)+COUNTIF(Tower_5!G:G,'All Associates'!A256)+COUNTIF(Tower_6!G:G,'All Associates'!A256)+COUNTIF(Riviera_3!G:G,'All Associates'!A256)+COUNTIF(Riviera_4!G:G,'All Associates'!A256)+COUNTIF(Riviera_5!G:G,'All Associates'!A256)</f>
        <v/>
      </c>
      <c r="J256" s="112">
        <f>IF(I256=0,"Not Allocated",IF(I256=1,"Allocated","Duplicate"))</f>
        <v/>
      </c>
    </row>
    <row r="257" hidden="1">
      <c r="A257" s="113" t="n">
        <v>1195</v>
      </c>
      <c r="B257" s="114" t="inlineStr">
        <is>
          <t>ANTHONY MALONE</t>
        </is>
      </c>
      <c r="C257" s="114" t="inlineStr">
        <is>
          <t>Activ</t>
        </is>
      </c>
      <c r="D257" s="114" t="inlineStr">
        <is>
          <t>ALEXANDER BAUTISTA</t>
        </is>
      </c>
      <c r="E257" s="114" t="inlineStr">
        <is>
          <t>HEATHER SOLIS</t>
        </is>
      </c>
      <c r="F257" s="114" t="inlineStr">
        <is>
          <t>KIMBERLY CLARK</t>
        </is>
      </c>
      <c r="G257" s="114" t="inlineStr">
        <is>
          <t>HEATHER SOLIS</t>
        </is>
      </c>
      <c r="H257" s="114" t="inlineStr">
        <is>
          <t>138-1</t>
        </is>
      </c>
      <c r="I257" s="111">
        <f>COUNTIF(Tower_3!G:G,'All Associates'!A257)+COUNTIF(Tower_4!G:G,'All Associates'!A257)+COUNTIF(Tower_5!G:G,'All Associates'!A257)+COUNTIF(Tower_6!G:G,'All Associates'!A257)+COUNTIF(Riviera_3!G:G,'All Associates'!A257)+COUNTIF(Riviera_4!G:G,'All Associates'!A257)+COUNTIF(Riviera_5!G:G,'All Associates'!A257)</f>
        <v/>
      </c>
      <c r="J257" s="112">
        <f>IF(I257=0,"Not Allocated",IF(I257=1,"Allocated","Duplicate"))</f>
        <v/>
      </c>
    </row>
    <row r="258" hidden="1">
      <c r="A258" s="83" t="n">
        <v>917</v>
      </c>
      <c r="B258" s="80" t="inlineStr">
        <is>
          <t>KELLY LINDSEY</t>
        </is>
      </c>
      <c r="C258" s="80" t="inlineStr">
        <is>
          <t>Activ</t>
        </is>
      </c>
      <c r="D258" s="80" t="inlineStr">
        <is>
          <t>CURTIS BROWN JR.</t>
        </is>
      </c>
      <c r="E258" s="80" t="inlineStr">
        <is>
          <t>KIMBERLY CLARK</t>
        </is>
      </c>
      <c r="F258" s="80" t="inlineStr">
        <is>
          <t>KIMBERLY CLARK</t>
        </is>
      </c>
      <c r="G258" s="80" t="inlineStr">
        <is>
          <t>CURTIS BROWN JR.</t>
        </is>
      </c>
      <c r="H258" s="80" t="inlineStr">
        <is>
          <t>220-1</t>
        </is>
      </c>
      <c r="I258" s="111">
        <f>COUNTIF(Tower_3!G:G,'All Associates'!A258)+COUNTIF(Tower_4!G:G,'All Associates'!A258)+COUNTIF(Tower_5!G:G,'All Associates'!A258)+COUNTIF(Tower_6!G:G,'All Associates'!A258)+COUNTIF(Riviera_3!G:G,'All Associates'!A258)+COUNTIF(Riviera_4!G:G,'All Associates'!A258)+COUNTIF(Riviera_5!G:G,'All Associates'!A258)</f>
        <v/>
      </c>
      <c r="J258" s="112">
        <f>IF(I258=0,"Not Allocated",IF(I258=1,"Allocated","Duplicate"))</f>
        <v/>
      </c>
    </row>
    <row r="259" hidden="1">
      <c r="A259" s="83" t="n">
        <v>1217</v>
      </c>
      <c r="B259" s="80" t="inlineStr">
        <is>
          <t>EILEEN MARQUEZ</t>
        </is>
      </c>
      <c r="C259" s="80" t="inlineStr">
        <is>
          <t>Activ</t>
        </is>
      </c>
      <c r="D259" s="80" t="inlineStr">
        <is>
          <t>NICOLAS GUTIERREZ</t>
        </is>
      </c>
      <c r="E259" s="80" t="inlineStr">
        <is>
          <t>JOHN SCOTT DDS</t>
        </is>
      </c>
      <c r="F259" s="80" t="inlineStr">
        <is>
          <t>ADAM SMITH</t>
        </is>
      </c>
      <c r="G259" s="80" t="inlineStr">
        <is>
          <t>PHILLIP TRAVIS</t>
        </is>
      </c>
      <c r="H259" s="80" t="inlineStr">
        <is>
          <t>156-1</t>
        </is>
      </c>
      <c r="I259" s="111">
        <f>COUNTIF(Tower_3!G:G,'All Associates'!A259)+COUNTIF(Tower_4!G:G,'All Associates'!A259)+COUNTIF(Tower_5!G:G,'All Associates'!A259)+COUNTIF(Tower_6!G:G,'All Associates'!A259)+COUNTIF(Riviera_3!G:G,'All Associates'!A259)+COUNTIF(Riviera_4!G:G,'All Associates'!A259)+COUNTIF(Riviera_5!G:G,'All Associates'!A259)</f>
        <v/>
      </c>
      <c r="J259" s="112">
        <f>IF(I259=0,"Not Allocated",IF(I259=1,"Allocated","Duplicate"))</f>
        <v/>
      </c>
    </row>
    <row r="260" hidden="1">
      <c r="A260" s="83" t="n">
        <v>266</v>
      </c>
      <c r="B260" s="80" t="inlineStr">
        <is>
          <t>MARK CUNNINGHAM</t>
        </is>
      </c>
      <c r="C260" s="80" t="inlineStr">
        <is>
          <t>Activ</t>
        </is>
      </c>
      <c r="D260" s="80" t="inlineStr">
        <is>
          <t>MR. MICHAEL KELLY</t>
        </is>
      </c>
      <c r="E260" s="80" t="inlineStr">
        <is>
          <t>HEATHER SOLIS</t>
        </is>
      </c>
      <c r="F260" s="80" t="inlineStr">
        <is>
          <t>KIMBERLY CLARK</t>
        </is>
      </c>
      <c r="G260" s="80" t="inlineStr">
        <is>
          <t>HEATHER SOLIS</t>
        </is>
      </c>
      <c r="H260" s="80" t="inlineStr">
        <is>
          <t>138-2</t>
        </is>
      </c>
      <c r="I260" s="111">
        <f>COUNTIF(Tower_3!G:G,'All Associates'!A260)+COUNTIF(Tower_4!G:G,'All Associates'!A260)+COUNTIF(Tower_5!G:G,'All Associates'!A260)+COUNTIF(Tower_6!G:G,'All Associates'!A260)+COUNTIF(Riviera_3!G:G,'All Associates'!A260)+COUNTIF(Riviera_4!G:G,'All Associates'!A260)+COUNTIF(Riviera_5!G:G,'All Associates'!A260)</f>
        <v/>
      </c>
      <c r="J260" s="112">
        <f>IF(I260=0,"Not Allocated",IF(I260=1,"Allocated","Duplicate"))</f>
        <v/>
      </c>
    </row>
    <row r="261" hidden="1">
      <c r="A261" s="83" t="n">
        <v>970</v>
      </c>
      <c r="B261" s="80" t="inlineStr">
        <is>
          <t>EMILY WRIGHT</t>
        </is>
      </c>
      <c r="C261" s="80" t="inlineStr">
        <is>
          <t>Activ</t>
        </is>
      </c>
      <c r="D261" s="80" t="inlineStr">
        <is>
          <t>ERIC GREENE</t>
        </is>
      </c>
      <c r="E261" s="80" t="inlineStr">
        <is>
          <t>ADAM SMITH</t>
        </is>
      </c>
      <c r="F261" s="80" t="inlineStr">
        <is>
          <t>PHILLIP TRAVIS</t>
        </is>
      </c>
      <c r="G261" s="80" t="inlineStr">
        <is>
          <t>PHILLIP TRAVIS</t>
        </is>
      </c>
      <c r="H261" s="80" t="inlineStr">
        <is>
          <t>156-1</t>
        </is>
      </c>
      <c r="I261" s="111">
        <f>COUNTIF(Tower_3!G:G,'All Associates'!A261)+COUNTIF(Tower_4!G:G,'All Associates'!A261)+COUNTIF(Tower_5!G:G,'All Associates'!A261)+COUNTIF(Tower_6!G:G,'All Associates'!A261)+COUNTIF(Riviera_3!G:G,'All Associates'!A261)+COUNTIF(Riviera_4!G:G,'All Associates'!A261)+COUNTIF(Riviera_5!G:G,'All Associates'!A261)</f>
        <v/>
      </c>
      <c r="J261" s="112">
        <f>IF(I261=0,"Not Allocated",IF(I261=1,"Allocated","Duplicate"))</f>
        <v/>
      </c>
    </row>
    <row r="262" hidden="1">
      <c r="A262" s="83" t="n">
        <v>1137</v>
      </c>
      <c r="B262" s="80" t="inlineStr">
        <is>
          <t>ANNA SANFORD DDS</t>
        </is>
      </c>
      <c r="C262" s="80" t="inlineStr">
        <is>
          <t>Activ</t>
        </is>
      </c>
      <c r="D262" s="80" t="inlineStr">
        <is>
          <t>JENNIFER WATSON</t>
        </is>
      </c>
      <c r="E262" s="80" t="inlineStr">
        <is>
          <t>BETH TUCKER</t>
        </is>
      </c>
      <c r="F262" s="80" t="inlineStr">
        <is>
          <t>KIMBERLY CLARK</t>
        </is>
      </c>
      <c r="G262" s="80" t="inlineStr">
        <is>
          <t>KIMBERLY CLARK</t>
        </is>
      </c>
      <c r="H262" s="80" t="inlineStr">
        <is>
          <t>156-2</t>
        </is>
      </c>
      <c r="I262" s="111">
        <f>COUNTIF(Tower_3!G:G,'All Associates'!A262)+COUNTIF(Tower_4!G:G,'All Associates'!A262)+COUNTIF(Tower_5!G:G,'All Associates'!A262)+COUNTIF(Tower_6!G:G,'All Associates'!A262)+COUNTIF(Riviera_3!G:G,'All Associates'!A262)+COUNTIF(Riviera_4!G:G,'All Associates'!A262)+COUNTIF(Riviera_5!G:G,'All Associates'!A262)</f>
        <v/>
      </c>
      <c r="J262" s="112">
        <f>IF(I262=0,"Not Allocated",IF(I262=1,"Allocated","Duplicate"))</f>
        <v/>
      </c>
    </row>
    <row r="263" hidden="1">
      <c r="A263" s="83" t="n">
        <v>1240</v>
      </c>
      <c r="B263" s="80" t="inlineStr">
        <is>
          <t>HEATHER PHILLIPS MD</t>
        </is>
      </c>
      <c r="C263" s="80" t="inlineStr">
        <is>
          <t>Activ</t>
        </is>
      </c>
      <c r="D263" s="80" t="inlineStr">
        <is>
          <t>MELISSA GARZA</t>
        </is>
      </c>
      <c r="E263" s="80" t="inlineStr">
        <is>
          <t>ASHLEY FRENCH</t>
        </is>
      </c>
      <c r="F263" s="80" t="inlineStr">
        <is>
          <t>PHILLIP TRAVIS</t>
        </is>
      </c>
      <c r="G263" s="80" t="inlineStr">
        <is>
          <t>PHILLIP TRAVIS</t>
        </is>
      </c>
      <c r="H263" s="80" t="inlineStr">
        <is>
          <t>156-1</t>
        </is>
      </c>
      <c r="I263" s="111">
        <f>COUNTIF(Tower_3!G:G,'All Associates'!A263)+COUNTIF(Tower_4!G:G,'All Associates'!A263)+COUNTIF(Tower_5!G:G,'All Associates'!A263)+COUNTIF(Tower_6!G:G,'All Associates'!A263)+COUNTIF(Riviera_3!G:G,'All Associates'!A263)+COUNTIF(Riviera_4!G:G,'All Associates'!A263)+COUNTIF(Riviera_5!G:G,'All Associates'!A263)</f>
        <v/>
      </c>
      <c r="J263" s="112">
        <f>IF(I263=0,"Not Allocated",IF(I263=1,"Allocated","Duplicate"))</f>
        <v/>
      </c>
    </row>
    <row r="264" hidden="1">
      <c r="A264" s="83" t="n">
        <v>1039</v>
      </c>
      <c r="B264" s="80" t="inlineStr">
        <is>
          <t>GREGORY LIU</t>
        </is>
      </c>
      <c r="C264" s="80" t="inlineStr">
        <is>
          <t>Activ</t>
        </is>
      </c>
      <c r="D264" s="80" t="inlineStr">
        <is>
          <t>THERESA HENRY</t>
        </is>
      </c>
      <c r="E264" s="80" t="inlineStr">
        <is>
          <t>ASHLEY FRENCH</t>
        </is>
      </c>
      <c r="F264" s="80" t="inlineStr">
        <is>
          <t>PHILLIP TRAVIS</t>
        </is>
      </c>
      <c r="G264" s="80" t="inlineStr">
        <is>
          <t>PHILLIP TRAVIS</t>
        </is>
      </c>
      <c r="H264" s="80" t="inlineStr">
        <is>
          <t>156-1</t>
        </is>
      </c>
      <c r="I264" s="111">
        <f>COUNTIF(Tower_3!G:G,'All Associates'!A264)+COUNTIF(Tower_4!G:G,'All Associates'!A264)+COUNTIF(Tower_5!G:G,'All Associates'!A264)+COUNTIF(Tower_6!G:G,'All Associates'!A264)+COUNTIF(Riviera_3!G:G,'All Associates'!A264)+COUNTIF(Riviera_4!G:G,'All Associates'!A264)+COUNTIF(Riviera_5!G:G,'All Associates'!A264)</f>
        <v/>
      </c>
      <c r="J264" s="112">
        <f>IF(I264=0,"Not Allocated",IF(I264=1,"Allocated","Duplicate"))</f>
        <v/>
      </c>
    </row>
    <row r="265" hidden="1">
      <c r="A265" s="83" t="n">
        <v>69</v>
      </c>
      <c r="B265" s="80" t="inlineStr">
        <is>
          <t>JANET ROBERTS</t>
        </is>
      </c>
      <c r="C265" s="80" t="inlineStr">
        <is>
          <t>Activ</t>
        </is>
      </c>
      <c r="D265" s="80" t="inlineStr">
        <is>
          <t>ADRIAN WILLIAMS</t>
        </is>
      </c>
      <c r="E265" s="80" t="inlineStr">
        <is>
          <t>STEPHANIE HARVEY</t>
        </is>
      </c>
      <c r="F265" s="80" t="inlineStr">
        <is>
          <t>NATHAN HAMILTON</t>
        </is>
      </c>
      <c r="G265" s="80" t="inlineStr">
        <is>
          <t>NATHAN HAMILTON</t>
        </is>
      </c>
      <c r="H265" s="80" t="inlineStr">
        <is>
          <t>221-1</t>
        </is>
      </c>
      <c r="I265" s="111">
        <f>COUNTIF(Tower_3!G:G,'All Associates'!A265)+COUNTIF(Tower_4!G:G,'All Associates'!A265)+COUNTIF(Tower_5!G:G,'All Associates'!A265)+COUNTIF(Tower_6!G:G,'All Associates'!A265)+COUNTIF(Riviera_3!G:G,'All Associates'!A265)+COUNTIF(Riviera_4!G:G,'All Associates'!A265)+COUNTIF(Riviera_5!G:G,'All Associates'!A265)</f>
        <v/>
      </c>
      <c r="J265" s="112">
        <f>IF(I265=0,"Not Allocated",IF(I265=1,"Allocated","Duplicate"))</f>
        <v/>
      </c>
    </row>
    <row r="266">
      <c r="A266" s="90" t="n">
        <v>510</v>
      </c>
      <c r="B266" s="91" t="inlineStr">
        <is>
          <t>WILLIAM CAIN</t>
        </is>
      </c>
      <c r="C266" s="91" t="inlineStr">
        <is>
          <t>Suspendat</t>
        </is>
      </c>
      <c r="D266" s="91" t="inlineStr">
        <is>
          <t>HEATHER SOLIS</t>
        </is>
      </c>
      <c r="E266" s="91" t="inlineStr">
        <is>
          <t>KIMBERLY CLARK</t>
        </is>
      </c>
      <c r="F266" s="91" t="inlineStr">
        <is>
          <t>KIMBERLY CLARK</t>
        </is>
      </c>
      <c r="G266" s="91" t="inlineStr">
        <is>
          <t>HEATHER SOLIS</t>
        </is>
      </c>
      <c r="H266" s="91" t="inlineStr">
        <is>
          <t>138-1</t>
        </is>
      </c>
      <c r="I266" s="111">
        <f>COUNTIF(Tower_3!G:G,'All Associates'!A266)+COUNTIF(Tower_4!G:G,'All Associates'!A266)+COUNTIF(Tower_5!G:G,'All Associates'!A266)+COUNTIF(Tower_6!G:G,'All Associates'!A266)+COUNTIF(Riviera_3!G:G,'All Associates'!A266)+COUNTIF(Riviera_4!G:G,'All Associates'!A266)+COUNTIF(Riviera_5!G:G,'All Associates'!A266)</f>
        <v/>
      </c>
      <c r="J266" s="112">
        <f>IF(I266=0,"Not Allocated",IF(I266=1,"Allocated","Duplicate"))</f>
        <v/>
      </c>
    </row>
    <row r="267" hidden="1">
      <c r="A267" s="83" t="n">
        <v>160</v>
      </c>
      <c r="B267" s="80" t="inlineStr">
        <is>
          <t>JOSEPH ZIMMERMAN</t>
        </is>
      </c>
      <c r="C267" s="80" t="inlineStr">
        <is>
          <t>Activ</t>
        </is>
      </c>
      <c r="D267" s="80" t="inlineStr">
        <is>
          <t>TIFFANY WARD</t>
        </is>
      </c>
      <c r="E267" s="80" t="inlineStr">
        <is>
          <t>CHELSEA CAMPBELL</t>
        </is>
      </c>
      <c r="F267" s="80" t="inlineStr">
        <is>
          <t>KENNETH CONRAD</t>
        </is>
      </c>
      <c r="G267" s="80" t="inlineStr">
        <is>
          <t>KENNETH CONRAD</t>
        </is>
      </c>
      <c r="H267" s="80" t="inlineStr">
        <is>
          <t>153-1</t>
        </is>
      </c>
      <c r="I267" s="111">
        <f>COUNTIF(Tower_3!G:G,'All Associates'!A267)+COUNTIF(Tower_4!G:G,'All Associates'!A267)+COUNTIF(Tower_5!G:G,'All Associates'!A267)+COUNTIF(Tower_6!G:G,'All Associates'!A267)+COUNTIF(Riviera_3!G:G,'All Associates'!A267)+COUNTIF(Riviera_4!G:G,'All Associates'!A267)+COUNTIF(Riviera_5!G:G,'All Associates'!A267)</f>
        <v/>
      </c>
      <c r="J267" s="112">
        <f>IF(I267=0,"Not Allocated",IF(I267=1,"Allocated","Duplicate"))</f>
        <v/>
      </c>
    </row>
    <row r="268" hidden="1">
      <c r="A268" s="83" t="n">
        <v>1074</v>
      </c>
      <c r="B268" s="80" t="inlineStr">
        <is>
          <t>ISABELLA BARNETT</t>
        </is>
      </c>
      <c r="C268" s="80" t="inlineStr">
        <is>
          <t>Activ</t>
        </is>
      </c>
      <c r="D268" s="80" t="inlineStr">
        <is>
          <t>LYDIA JACKSON</t>
        </is>
      </c>
      <c r="E268" s="80" t="inlineStr">
        <is>
          <t>HEATHER SOLIS</t>
        </is>
      </c>
      <c r="F268" s="80" t="inlineStr">
        <is>
          <t>KIMBERLY CLARK</t>
        </is>
      </c>
      <c r="G268" s="80" t="inlineStr">
        <is>
          <t>HEATHER SOLIS</t>
        </is>
      </c>
      <c r="H268" s="80" t="inlineStr">
        <is>
          <t>138-1</t>
        </is>
      </c>
      <c r="I268" s="111">
        <f>COUNTIF(Tower_3!G:G,'All Associates'!A268)+COUNTIF(Tower_4!G:G,'All Associates'!A268)+COUNTIF(Tower_5!G:G,'All Associates'!A268)+COUNTIF(Tower_6!G:G,'All Associates'!A268)+COUNTIF(Riviera_3!G:G,'All Associates'!A268)+COUNTIF(Riviera_4!G:G,'All Associates'!A268)+COUNTIF(Riviera_5!G:G,'All Associates'!A268)</f>
        <v/>
      </c>
      <c r="J268" s="112">
        <f>IF(I268=0,"Not Allocated",IF(I268=1,"Allocated","Duplicate"))</f>
        <v/>
      </c>
    </row>
    <row r="269" hidden="1">
      <c r="A269" s="83" t="n">
        <v>440</v>
      </c>
      <c r="B269" s="80" t="inlineStr">
        <is>
          <t>ELIZABETH SMITH</t>
        </is>
      </c>
      <c r="C269" s="80" t="inlineStr">
        <is>
          <t>Activ</t>
        </is>
      </c>
      <c r="D269" s="80" t="inlineStr">
        <is>
          <t>ALLISON JACKSON</t>
        </is>
      </c>
      <c r="E269" s="80" t="inlineStr">
        <is>
          <t>ALEXANDER MILLER</t>
        </is>
      </c>
      <c r="F269" s="80" t="inlineStr">
        <is>
          <t>KIMBERLY CLARK</t>
        </is>
      </c>
      <c r="G269" s="80" t="inlineStr">
        <is>
          <t>ALEXANDER MILLER</t>
        </is>
      </c>
      <c r="H269" s="80" t="inlineStr">
        <is>
          <t>135-1</t>
        </is>
      </c>
      <c r="I269" s="111">
        <f>COUNTIF(Tower_3!G:G,'All Associates'!A269)+COUNTIF(Tower_4!G:G,'All Associates'!A269)+COUNTIF(Tower_5!G:G,'All Associates'!A269)+COUNTIF(Tower_6!G:G,'All Associates'!A269)+COUNTIF(Riviera_3!G:G,'All Associates'!A269)+COUNTIF(Riviera_4!G:G,'All Associates'!A269)+COUNTIF(Riviera_5!G:G,'All Associates'!A269)</f>
        <v/>
      </c>
      <c r="J269" s="112">
        <f>IF(I269=0,"Not Allocated",IF(I269=1,"Allocated","Duplicate"))</f>
        <v/>
      </c>
    </row>
    <row r="270" hidden="1">
      <c r="A270" s="83" t="n">
        <v>446</v>
      </c>
      <c r="B270" s="80" t="inlineStr">
        <is>
          <t>LISA THORNTON</t>
        </is>
      </c>
      <c r="C270" s="80" t="inlineStr">
        <is>
          <t>Activ</t>
        </is>
      </c>
      <c r="D270" s="80" t="inlineStr">
        <is>
          <t>NATHAN HAMILTON</t>
        </is>
      </c>
      <c r="E270" s="80" t="inlineStr">
        <is>
          <t>KIMBERLY CLARK</t>
        </is>
      </c>
      <c r="F270" s="80" t="inlineStr">
        <is>
          <t>KIMBERLY CLARK</t>
        </is>
      </c>
      <c r="G270" s="80" t="inlineStr">
        <is>
          <t>NATHAN HAMILTON</t>
        </is>
      </c>
      <c r="H270" s="80" t="inlineStr">
        <is>
          <t>221-1</t>
        </is>
      </c>
      <c r="I270" s="111">
        <f>COUNTIF(Tower_3!G:G,'All Associates'!A270)+COUNTIF(Tower_4!G:G,'All Associates'!A270)+COUNTIF(Tower_5!G:G,'All Associates'!A270)+COUNTIF(Tower_6!G:G,'All Associates'!A270)+COUNTIF(Riviera_3!G:G,'All Associates'!A270)+COUNTIF(Riviera_4!G:G,'All Associates'!A270)+COUNTIF(Riviera_5!G:G,'All Associates'!A270)</f>
        <v/>
      </c>
      <c r="J270" s="112">
        <f>IF(I270=0,"Not Allocated",IF(I270=1,"Allocated","Duplicate"))</f>
        <v/>
      </c>
    </row>
    <row r="271" hidden="1">
      <c r="A271" s="83" t="n">
        <v>550</v>
      </c>
      <c r="B271" s="80" t="inlineStr">
        <is>
          <t>JOSEPH OWENS</t>
        </is>
      </c>
      <c r="C271" s="80" t="inlineStr">
        <is>
          <t>Activ</t>
        </is>
      </c>
      <c r="D271" s="80" t="inlineStr">
        <is>
          <t>BRAD COOLEY</t>
        </is>
      </c>
      <c r="E271" s="80" t="inlineStr">
        <is>
          <t>MR. MICHAEL KELLY</t>
        </is>
      </c>
      <c r="F271" s="80" t="inlineStr">
        <is>
          <t>HEATHER SOLIS</t>
        </is>
      </c>
      <c r="G271" s="80" t="inlineStr">
        <is>
          <t>HEATHER SOLIS</t>
        </is>
      </c>
      <c r="H271" s="80" t="inlineStr">
        <is>
          <t>138-2</t>
        </is>
      </c>
      <c r="I271" s="111">
        <f>COUNTIF(Tower_3!G:G,'All Associates'!A271)+COUNTIF(Tower_4!G:G,'All Associates'!A271)+COUNTIF(Tower_5!G:G,'All Associates'!A271)+COUNTIF(Tower_6!G:G,'All Associates'!A271)+COUNTIF(Riviera_3!G:G,'All Associates'!A271)+COUNTIF(Riviera_4!G:G,'All Associates'!A271)+COUNTIF(Riviera_5!G:G,'All Associates'!A271)</f>
        <v/>
      </c>
      <c r="J271" s="112">
        <f>IF(I271=0,"Not Allocated",IF(I271=1,"Allocated","Duplicate"))</f>
        <v/>
      </c>
    </row>
    <row r="272" hidden="1">
      <c r="A272" s="83" t="n">
        <v>1012</v>
      </c>
      <c r="B272" s="80" t="inlineStr">
        <is>
          <t>MONICA DECKER</t>
        </is>
      </c>
      <c r="C272" s="80" t="inlineStr">
        <is>
          <t>Activ</t>
        </is>
      </c>
      <c r="D272" s="80" t="inlineStr">
        <is>
          <t>STEPHANIE PERKINS</t>
        </is>
      </c>
      <c r="E272" s="80" t="inlineStr">
        <is>
          <t>MR. MICHAEL KELLY</t>
        </is>
      </c>
      <c r="F272" s="80" t="inlineStr">
        <is>
          <t>HEATHER SOLIS</t>
        </is>
      </c>
      <c r="G272" s="80" t="inlineStr">
        <is>
          <t>HEATHER SOLIS</t>
        </is>
      </c>
      <c r="H272" s="80" t="inlineStr">
        <is>
          <t>138-2</t>
        </is>
      </c>
      <c r="I272" s="111">
        <f>COUNTIF(Tower_3!G:G,'All Associates'!A272)+COUNTIF(Tower_4!G:G,'All Associates'!A272)+COUNTIF(Tower_5!G:G,'All Associates'!A272)+COUNTIF(Tower_6!G:G,'All Associates'!A272)+COUNTIF(Riviera_3!G:G,'All Associates'!A272)+COUNTIF(Riviera_4!G:G,'All Associates'!A272)+COUNTIF(Riviera_5!G:G,'All Associates'!A272)</f>
        <v/>
      </c>
      <c r="J272" s="112">
        <f>IF(I272=0,"Not Allocated",IF(I272=1,"Allocated","Duplicate"))</f>
        <v/>
      </c>
    </row>
    <row r="273">
      <c r="A273" s="90" t="n">
        <v>592</v>
      </c>
      <c r="B273" s="91" t="inlineStr">
        <is>
          <t>ASHLEY BUTLER</t>
        </is>
      </c>
      <c r="C273" s="91" t="inlineStr">
        <is>
          <t>Suspendat</t>
        </is>
      </c>
      <c r="D273" s="91" t="inlineStr">
        <is>
          <t>MARISSA CROSS</t>
        </is>
      </c>
      <c r="E273" s="91" t="inlineStr">
        <is>
          <t>KIMBERLY CLARK</t>
        </is>
      </c>
      <c r="F273" s="91" t="inlineStr">
        <is>
          <t>KIMBERLY CLARK</t>
        </is>
      </c>
      <c r="G273" s="91" t="inlineStr">
        <is>
          <t>MARISSA CROSS</t>
        </is>
      </c>
      <c r="H273" s="91" t="inlineStr">
        <is>
          <t>220-2</t>
        </is>
      </c>
      <c r="I273" s="111">
        <f>COUNTIF(Tower_3!G:G,'All Associates'!A273)+COUNTIF(Tower_4!G:G,'All Associates'!A273)+COUNTIF(Tower_5!G:G,'All Associates'!A273)+COUNTIF(Tower_6!G:G,'All Associates'!A273)+COUNTIF(Riviera_3!G:G,'All Associates'!A273)+COUNTIF(Riviera_4!G:G,'All Associates'!A273)+COUNTIF(Riviera_5!G:G,'All Associates'!A273)</f>
        <v/>
      </c>
      <c r="J273" s="112">
        <f>IF(I273=0,"Not Allocated",IF(I273=1,"Allocated","Duplicate"))</f>
        <v/>
      </c>
    </row>
    <row r="274" hidden="1">
      <c r="A274" s="83" t="n">
        <v>1231</v>
      </c>
      <c r="B274" s="80" t="inlineStr">
        <is>
          <t>SUSAN WILLIS</t>
        </is>
      </c>
      <c r="C274" s="80" t="inlineStr">
        <is>
          <t>Activ</t>
        </is>
      </c>
      <c r="D274" s="80" t="inlineStr">
        <is>
          <t>SUMMER BARRETT</t>
        </is>
      </c>
      <c r="E274" s="80" t="inlineStr">
        <is>
          <t>ALEXANDER MILLER</t>
        </is>
      </c>
      <c r="F274" s="80" t="inlineStr">
        <is>
          <t>KIMBERLY CLARK</t>
        </is>
      </c>
      <c r="G274" s="80" t="inlineStr">
        <is>
          <t>ALEXANDER MILLER</t>
        </is>
      </c>
      <c r="H274" s="80" t="inlineStr">
        <is>
          <t>135-1</t>
        </is>
      </c>
      <c r="I274" s="111">
        <f>COUNTIF(Tower_3!G:G,'All Associates'!A274)+COUNTIF(Tower_4!G:G,'All Associates'!A274)+COUNTIF(Tower_5!G:G,'All Associates'!A274)+COUNTIF(Tower_6!G:G,'All Associates'!A274)+COUNTIF(Riviera_3!G:G,'All Associates'!A274)+COUNTIF(Riviera_4!G:G,'All Associates'!A274)+COUNTIF(Riviera_5!G:G,'All Associates'!A274)</f>
        <v/>
      </c>
      <c r="J274" s="112">
        <f>IF(I274=0,"Not Allocated",IF(I274=1,"Allocated","Duplicate"))</f>
        <v/>
      </c>
    </row>
    <row r="275" hidden="1">
      <c r="A275" s="83" t="n">
        <v>520</v>
      </c>
      <c r="B275" s="80" t="inlineStr">
        <is>
          <t>TIFFANY CARPENTER</t>
        </is>
      </c>
      <c r="C275" s="80" t="inlineStr">
        <is>
          <t>Activ</t>
        </is>
      </c>
      <c r="D275" s="80" t="inlineStr">
        <is>
          <t>DR. DIANA CARROLL</t>
        </is>
      </c>
      <c r="E275" s="80" t="inlineStr">
        <is>
          <t>HEATHER SOLIS</t>
        </is>
      </c>
      <c r="F275" s="80" t="inlineStr">
        <is>
          <t>KIMBERLY CLARK</t>
        </is>
      </c>
      <c r="G275" s="80" t="inlineStr">
        <is>
          <t>HEATHER SOLIS</t>
        </is>
      </c>
      <c r="H275" s="80" t="inlineStr">
        <is>
          <t>138-1</t>
        </is>
      </c>
      <c r="I275" s="111">
        <f>COUNTIF(Tower_3!G:G,'All Associates'!A275)+COUNTIF(Tower_4!G:G,'All Associates'!A275)+COUNTIF(Tower_5!G:G,'All Associates'!A275)+COUNTIF(Tower_6!G:G,'All Associates'!A275)+COUNTIF(Riviera_3!G:G,'All Associates'!A275)+COUNTIF(Riviera_4!G:G,'All Associates'!A275)+COUNTIF(Riviera_5!G:G,'All Associates'!A275)</f>
        <v/>
      </c>
      <c r="J275" s="112">
        <f>IF(I275=0,"Not Allocated",IF(I275=1,"Allocated","Duplicate"))</f>
        <v/>
      </c>
    </row>
    <row r="276" hidden="1">
      <c r="A276" s="83" t="n">
        <v>1229</v>
      </c>
      <c r="B276" s="80" t="inlineStr">
        <is>
          <t>TIM ALLEN</t>
        </is>
      </c>
      <c r="C276" s="80" t="inlineStr">
        <is>
          <t>Activ</t>
        </is>
      </c>
      <c r="D276" s="80" t="inlineStr">
        <is>
          <t>JENNY HOWARD</t>
        </is>
      </c>
      <c r="E276" s="80" t="inlineStr">
        <is>
          <t>CHARLES POWELL</t>
        </is>
      </c>
      <c r="F276" s="80" t="inlineStr">
        <is>
          <t>KIMBERLY CLARK</t>
        </is>
      </c>
      <c r="G276" s="80" t="inlineStr">
        <is>
          <t>CHARLES POWELL</t>
        </is>
      </c>
      <c r="H276" s="80" t="inlineStr">
        <is>
          <t>138-3</t>
        </is>
      </c>
      <c r="I276" s="111">
        <f>COUNTIF(Tower_3!G:G,'All Associates'!A276)+COUNTIF(Tower_4!G:G,'All Associates'!A276)+COUNTIF(Tower_5!G:G,'All Associates'!A276)+COUNTIF(Tower_6!G:G,'All Associates'!A276)+COUNTIF(Riviera_3!G:G,'All Associates'!A276)+COUNTIF(Riviera_4!G:G,'All Associates'!A276)+COUNTIF(Riviera_5!G:G,'All Associates'!A276)</f>
        <v/>
      </c>
      <c r="J276" s="112">
        <f>IF(I276=0,"Not Allocated",IF(I276=1,"Allocated","Duplicate"))</f>
        <v/>
      </c>
    </row>
    <row r="277" hidden="1">
      <c r="A277" s="83" t="n">
        <v>1200</v>
      </c>
      <c r="B277" s="80" t="inlineStr">
        <is>
          <t>WILLIAM ALVAREZ</t>
        </is>
      </c>
      <c r="C277" s="80" t="inlineStr">
        <is>
          <t>Activ</t>
        </is>
      </c>
      <c r="D277" s="80" t="inlineStr">
        <is>
          <t>CHRISTOPHER HUFFMAN</t>
        </is>
      </c>
      <c r="E277" s="80" t="inlineStr">
        <is>
          <t>CHARLES POWELL</t>
        </is>
      </c>
      <c r="F277" s="80" t="inlineStr">
        <is>
          <t>KIMBERLY CLARK</t>
        </is>
      </c>
      <c r="G277" s="80" t="inlineStr">
        <is>
          <t>CHARLES POWELL</t>
        </is>
      </c>
      <c r="H277" s="80" t="inlineStr">
        <is>
          <t>138-3</t>
        </is>
      </c>
      <c r="I277" s="111">
        <f>COUNTIF(Tower_3!G:G,'All Associates'!A277)+COUNTIF(Tower_4!G:G,'All Associates'!A277)+COUNTIF(Tower_5!G:G,'All Associates'!A277)+COUNTIF(Tower_6!G:G,'All Associates'!A277)+COUNTIF(Riviera_3!G:G,'All Associates'!A277)+COUNTIF(Riviera_4!G:G,'All Associates'!A277)+COUNTIF(Riviera_5!G:G,'All Associates'!A277)</f>
        <v/>
      </c>
      <c r="J277" s="112">
        <f>IF(I277=0,"Not Allocated",IF(I277=1,"Allocated","Duplicate"))</f>
        <v/>
      </c>
    </row>
    <row r="278" hidden="1">
      <c r="A278" s="83" t="n">
        <v>978</v>
      </c>
      <c r="B278" s="80" t="inlineStr">
        <is>
          <t>JAMES AUSTIN</t>
        </is>
      </c>
      <c r="C278" s="80" t="inlineStr">
        <is>
          <t>Activ</t>
        </is>
      </c>
      <c r="D278" s="80" t="inlineStr">
        <is>
          <t>JEFFREY JONES</t>
        </is>
      </c>
      <c r="E278" s="80" t="inlineStr">
        <is>
          <t>NATHAN HAMILTON</t>
        </is>
      </c>
      <c r="F278" s="80" t="inlineStr">
        <is>
          <t>KIMBERLY CLARK</t>
        </is>
      </c>
      <c r="G278" s="80" t="inlineStr">
        <is>
          <t>NATHAN HAMILTON</t>
        </is>
      </c>
      <c r="H278" s="80" t="inlineStr">
        <is>
          <t>221-1</t>
        </is>
      </c>
      <c r="I278" s="111">
        <f>COUNTIF(Tower_3!G:G,'All Associates'!A278)+COUNTIF(Tower_4!G:G,'All Associates'!A278)+COUNTIF(Tower_5!G:G,'All Associates'!A278)+COUNTIF(Tower_6!G:G,'All Associates'!A278)+COUNTIF(Riviera_3!G:G,'All Associates'!A278)+COUNTIF(Riviera_4!G:G,'All Associates'!A278)+COUNTIF(Riviera_5!G:G,'All Associates'!A278)</f>
        <v/>
      </c>
      <c r="J278" s="112">
        <f>IF(I278=0,"Not Allocated",IF(I278=1,"Allocated","Duplicate"))</f>
        <v/>
      </c>
    </row>
    <row r="279" hidden="1">
      <c r="A279" s="83" t="n">
        <v>1007</v>
      </c>
      <c r="B279" s="80" t="inlineStr">
        <is>
          <t>SAMANTHA RUSH</t>
        </is>
      </c>
      <c r="C279" s="80" t="inlineStr">
        <is>
          <t>Activ</t>
        </is>
      </c>
      <c r="D279" s="80" t="inlineStr">
        <is>
          <t>MICHAEL ROSALES</t>
        </is>
      </c>
      <c r="E279" s="80" t="inlineStr">
        <is>
          <t>BETH TUCKER</t>
        </is>
      </c>
      <c r="F279" s="80" t="inlineStr">
        <is>
          <t>KIMBERLY CLARK</t>
        </is>
      </c>
      <c r="G279" s="80" t="inlineStr">
        <is>
          <t>KIMBERLY CLARK</t>
        </is>
      </c>
      <c r="H279" s="80" t="inlineStr">
        <is>
          <t>156-2</t>
        </is>
      </c>
      <c r="I279" s="111">
        <f>COUNTIF(Tower_3!G:G,'All Associates'!A279)+COUNTIF(Tower_4!G:G,'All Associates'!A279)+COUNTIF(Tower_5!G:G,'All Associates'!A279)+COUNTIF(Tower_6!G:G,'All Associates'!A279)+COUNTIF(Riviera_3!G:G,'All Associates'!A279)+COUNTIF(Riviera_4!G:G,'All Associates'!A279)+COUNTIF(Riviera_5!G:G,'All Associates'!A279)</f>
        <v/>
      </c>
      <c r="J279" s="112">
        <f>IF(I279=0,"Not Allocated",IF(I279=1,"Allocated","Duplicate"))</f>
        <v/>
      </c>
    </row>
    <row r="280" hidden="1">
      <c r="A280" s="83" t="n">
        <v>257</v>
      </c>
      <c r="B280" s="80" t="inlineStr">
        <is>
          <t>ROBERT CALLAHAN</t>
        </is>
      </c>
      <c r="C280" s="80" t="inlineStr">
        <is>
          <t>Activ</t>
        </is>
      </c>
      <c r="D280" s="80" t="inlineStr">
        <is>
          <t>DOUGLAS LUNA</t>
        </is>
      </c>
      <c r="E280" s="80" t="inlineStr">
        <is>
          <t>ADAM SMITH</t>
        </is>
      </c>
      <c r="F280" s="80" t="inlineStr">
        <is>
          <t>PHILLIP TRAVIS</t>
        </is>
      </c>
      <c r="G280" s="80" t="inlineStr">
        <is>
          <t>PHILLIP TRAVIS</t>
        </is>
      </c>
      <c r="H280" s="80" t="inlineStr">
        <is>
          <t>156-1</t>
        </is>
      </c>
      <c r="I280" s="111">
        <f>COUNTIF(Tower_3!G:G,'All Associates'!A280)+COUNTIF(Tower_4!G:G,'All Associates'!A280)+COUNTIF(Tower_5!G:G,'All Associates'!A280)+COUNTIF(Tower_6!G:G,'All Associates'!A280)+COUNTIF(Riviera_3!G:G,'All Associates'!A280)+COUNTIF(Riviera_4!G:G,'All Associates'!A280)+COUNTIF(Riviera_5!G:G,'All Associates'!A280)</f>
        <v/>
      </c>
      <c r="J280" s="112">
        <f>IF(I280=0,"Not Allocated",IF(I280=1,"Allocated","Duplicate"))</f>
        <v/>
      </c>
    </row>
    <row r="281" hidden="1">
      <c r="A281" s="83" t="n">
        <v>971</v>
      </c>
      <c r="B281" s="80" t="inlineStr">
        <is>
          <t>JUSTIN RIDDLE</t>
        </is>
      </c>
      <c r="C281" s="80" t="inlineStr">
        <is>
          <t>Activ</t>
        </is>
      </c>
      <c r="D281" s="80" t="inlineStr">
        <is>
          <t>SUMMER BARRETT</t>
        </is>
      </c>
      <c r="E281" s="80" t="inlineStr">
        <is>
          <t>ALEXANDER MILLER</t>
        </is>
      </c>
      <c r="F281" s="80" t="inlineStr">
        <is>
          <t>KIMBERLY CLARK</t>
        </is>
      </c>
      <c r="G281" s="80" t="inlineStr">
        <is>
          <t>ALEXANDER MILLER</t>
        </is>
      </c>
      <c r="H281" s="80" t="inlineStr">
        <is>
          <t>135-1</t>
        </is>
      </c>
      <c r="I281" s="111">
        <f>COUNTIF(Tower_3!G:G,'All Associates'!A281)+COUNTIF(Tower_4!G:G,'All Associates'!A281)+COUNTIF(Tower_5!G:G,'All Associates'!A281)+COUNTIF(Tower_6!G:G,'All Associates'!A281)+COUNTIF(Riviera_3!G:G,'All Associates'!A281)+COUNTIF(Riviera_4!G:G,'All Associates'!A281)+COUNTIF(Riviera_5!G:G,'All Associates'!A281)</f>
        <v/>
      </c>
      <c r="J281" s="112">
        <f>IF(I281=0,"Not Allocated",IF(I281=1,"Allocated","Duplicate"))</f>
        <v/>
      </c>
    </row>
    <row r="282" hidden="1">
      <c r="A282" s="83" t="n">
        <v>468</v>
      </c>
      <c r="B282" s="80" t="inlineStr">
        <is>
          <t>ROBERT PERRY</t>
        </is>
      </c>
      <c r="C282" s="80" t="inlineStr">
        <is>
          <t>Activ</t>
        </is>
      </c>
      <c r="D282" s="80" t="inlineStr">
        <is>
          <t>CHELSEA CAMPBELL</t>
        </is>
      </c>
      <c r="E282" s="80" t="inlineStr">
        <is>
          <t>KENNETH CONRAD</t>
        </is>
      </c>
      <c r="F282" s="80" t="inlineStr">
        <is>
          <t>KIMBERLY CLARK</t>
        </is>
      </c>
      <c r="G282" s="80" t="inlineStr">
        <is>
          <t>KENNETH CONRAD</t>
        </is>
      </c>
      <c r="H282" s="80" t="inlineStr">
        <is>
          <t>133-1</t>
        </is>
      </c>
      <c r="I282" s="111">
        <f>COUNTIF(Tower_3!G:G,'All Associates'!A282)+COUNTIF(Tower_4!G:G,'All Associates'!A282)+COUNTIF(Tower_5!G:G,'All Associates'!A282)+COUNTIF(Tower_6!G:G,'All Associates'!A282)+COUNTIF(Riviera_3!G:G,'All Associates'!A282)+COUNTIF(Riviera_4!G:G,'All Associates'!A282)+COUNTIF(Riviera_5!G:G,'All Associates'!A282)</f>
        <v/>
      </c>
      <c r="J282" s="112">
        <f>IF(I282=0,"Not Allocated",IF(I282=1,"Allocated","Duplicate"))</f>
        <v/>
      </c>
    </row>
    <row r="283" hidden="1">
      <c r="A283" s="83" t="n">
        <v>531</v>
      </c>
      <c r="B283" s="80" t="inlineStr">
        <is>
          <t>MARY NGUYEN</t>
        </is>
      </c>
      <c r="C283" s="80" t="inlineStr">
        <is>
          <t>Activ</t>
        </is>
      </c>
      <c r="D283" s="80" t="inlineStr">
        <is>
          <t>CHAD PEREZ</t>
        </is>
      </c>
      <c r="E283" s="80" t="inlineStr">
        <is>
          <t>MARISSA CROSS</t>
        </is>
      </c>
      <c r="F283" s="80" t="inlineStr">
        <is>
          <t>KIMBERLY CLARK</t>
        </is>
      </c>
      <c r="G283" s="80" t="inlineStr">
        <is>
          <t>MARISSA CROSS</t>
        </is>
      </c>
      <c r="H283" s="80" t="inlineStr">
        <is>
          <t>220-2</t>
        </is>
      </c>
      <c r="I283" s="111">
        <f>COUNTIF(Tower_3!G:G,'All Associates'!A283)+COUNTIF(Tower_4!G:G,'All Associates'!A283)+COUNTIF(Tower_5!G:G,'All Associates'!A283)+COUNTIF(Tower_6!G:G,'All Associates'!A283)+COUNTIF(Riviera_3!G:G,'All Associates'!A283)+COUNTIF(Riviera_4!G:G,'All Associates'!A283)+COUNTIF(Riviera_5!G:G,'All Associates'!A283)</f>
        <v/>
      </c>
      <c r="J283" s="112">
        <f>IF(I283=0,"Not Allocated",IF(I283=1,"Allocated","Duplicate"))</f>
        <v/>
      </c>
    </row>
    <row r="284" hidden="1">
      <c r="A284" s="83" t="n">
        <v>884</v>
      </c>
      <c r="B284" s="80" t="inlineStr">
        <is>
          <t>ELIZABETH ELLIS</t>
        </is>
      </c>
      <c r="C284" s="80" t="inlineStr">
        <is>
          <t>Activ</t>
        </is>
      </c>
      <c r="D284" s="80" t="inlineStr">
        <is>
          <t>AMY ACOSTA</t>
        </is>
      </c>
      <c r="E284" s="80" t="inlineStr">
        <is>
          <t>MARISSA CROSS</t>
        </is>
      </c>
      <c r="F284" s="80" t="inlineStr">
        <is>
          <t>KIMBERLY CLARK</t>
        </is>
      </c>
      <c r="G284" s="80" t="inlineStr">
        <is>
          <t>MARISSA CROSS</t>
        </is>
      </c>
      <c r="H284" s="80" t="inlineStr">
        <is>
          <t>220-2</t>
        </is>
      </c>
      <c r="I284" s="111">
        <f>COUNTIF(Tower_3!G:G,'All Associates'!A284)+COUNTIF(Tower_4!G:G,'All Associates'!A284)+COUNTIF(Tower_5!G:G,'All Associates'!A284)+COUNTIF(Tower_6!G:G,'All Associates'!A284)+COUNTIF(Riviera_3!G:G,'All Associates'!A284)+COUNTIF(Riviera_4!G:G,'All Associates'!A284)+COUNTIF(Riviera_5!G:G,'All Associates'!A284)</f>
        <v/>
      </c>
      <c r="J284" s="112">
        <f>IF(I284=0,"Not Allocated",IF(I284=1,"Allocated","Duplicate"))</f>
        <v/>
      </c>
    </row>
    <row r="285" hidden="1">
      <c r="A285" s="83" t="n">
        <v>797</v>
      </c>
      <c r="B285" s="80" t="inlineStr">
        <is>
          <t>DANNY TOWNSEND</t>
        </is>
      </c>
      <c r="C285" s="80" t="inlineStr">
        <is>
          <t>Activ</t>
        </is>
      </c>
      <c r="D285" s="80" t="inlineStr">
        <is>
          <t>KATHERINE ANDREWS</t>
        </is>
      </c>
      <c r="E285" s="80" t="inlineStr">
        <is>
          <t>CHAD PEREZ</t>
        </is>
      </c>
      <c r="F285" s="80" t="inlineStr">
        <is>
          <t>MARISSA CROSS</t>
        </is>
      </c>
      <c r="G285" s="80" t="inlineStr">
        <is>
          <t>MARISSA CROSS</t>
        </is>
      </c>
      <c r="H285" s="80" t="inlineStr">
        <is>
          <t>220-2</t>
        </is>
      </c>
      <c r="I285" s="111">
        <f>COUNTIF(Tower_3!G:G,'All Associates'!A285)+COUNTIF(Tower_4!G:G,'All Associates'!A285)+COUNTIF(Tower_5!G:G,'All Associates'!A285)+COUNTIF(Tower_6!G:G,'All Associates'!A285)+COUNTIF(Riviera_3!G:G,'All Associates'!A285)+COUNTIF(Riviera_4!G:G,'All Associates'!A285)+COUNTIF(Riviera_5!G:G,'All Associates'!A285)</f>
        <v/>
      </c>
      <c r="J285" s="112">
        <f>IF(I285=0,"Not Allocated",IF(I285=1,"Allocated","Duplicate"))</f>
        <v/>
      </c>
    </row>
    <row r="286" hidden="1">
      <c r="A286" s="83" t="n">
        <v>929</v>
      </c>
      <c r="B286" s="80" t="inlineStr">
        <is>
          <t>DEBORAH STANLEY</t>
        </is>
      </c>
      <c r="C286" s="80" t="inlineStr">
        <is>
          <t>Activ</t>
        </is>
      </c>
      <c r="D286" s="80" t="inlineStr">
        <is>
          <t>JORDAN MARQUEZ</t>
        </is>
      </c>
      <c r="E286" s="80" t="inlineStr">
        <is>
          <t>JEFFREY JONES</t>
        </is>
      </c>
      <c r="F286" s="80" t="inlineStr">
        <is>
          <t>NATHAN HAMILTON</t>
        </is>
      </c>
      <c r="G286" s="80" t="inlineStr">
        <is>
          <t>NATHAN HAMILTON</t>
        </is>
      </c>
      <c r="H286" s="80" t="inlineStr">
        <is>
          <t>221-1</t>
        </is>
      </c>
      <c r="I286" s="111">
        <f>COUNTIF(Tower_3!G:G,'All Associates'!A286)+COUNTIF(Tower_4!G:G,'All Associates'!A286)+COUNTIF(Tower_5!G:G,'All Associates'!A286)+COUNTIF(Tower_6!G:G,'All Associates'!A286)+COUNTIF(Riviera_3!G:G,'All Associates'!A286)+COUNTIF(Riviera_4!G:G,'All Associates'!A286)+COUNTIF(Riviera_5!G:G,'All Associates'!A286)</f>
        <v/>
      </c>
      <c r="J286" s="112">
        <f>IF(I286=0,"Not Allocated",IF(I286=1,"Allocated","Duplicate"))</f>
        <v/>
      </c>
    </row>
    <row r="287" hidden="1">
      <c r="A287" s="83" t="n">
        <v>1049</v>
      </c>
      <c r="B287" s="80" t="inlineStr">
        <is>
          <t>JESSICA RIOS</t>
        </is>
      </c>
      <c r="C287" s="80" t="inlineStr">
        <is>
          <t>Activ</t>
        </is>
      </c>
      <c r="D287" s="80" t="inlineStr">
        <is>
          <t>AMY ROBERTS</t>
        </is>
      </c>
      <c r="E287" s="80" t="inlineStr">
        <is>
          <t>BETH TUCKER</t>
        </is>
      </c>
      <c r="F287" s="80" t="inlineStr">
        <is>
          <t>KIMBERLY CLARK</t>
        </is>
      </c>
      <c r="G287" s="80" t="inlineStr">
        <is>
          <t>KIMBERLY CLARK</t>
        </is>
      </c>
      <c r="H287" s="80" t="inlineStr">
        <is>
          <t>156-2</t>
        </is>
      </c>
      <c r="I287" s="111">
        <f>COUNTIF(Tower_3!G:G,'All Associates'!A287)+COUNTIF(Tower_4!G:G,'All Associates'!A287)+COUNTIF(Tower_5!G:G,'All Associates'!A287)+COUNTIF(Tower_6!G:G,'All Associates'!A287)+COUNTIF(Riviera_3!G:G,'All Associates'!A287)+COUNTIF(Riviera_4!G:G,'All Associates'!A287)+COUNTIF(Riviera_5!G:G,'All Associates'!A287)</f>
        <v/>
      </c>
      <c r="J287" s="112">
        <f>IF(I287=0,"Not Allocated",IF(I287=1,"Allocated","Duplicate"))</f>
        <v/>
      </c>
    </row>
    <row r="288" hidden="1">
      <c r="A288" s="83" t="n">
        <v>976</v>
      </c>
      <c r="B288" s="80" t="inlineStr">
        <is>
          <t>MR. CODY JONES</t>
        </is>
      </c>
      <c r="C288" s="80" t="inlineStr">
        <is>
          <t>Activ</t>
        </is>
      </c>
      <c r="D288" s="80" t="inlineStr">
        <is>
          <t>CHRISTOPHER LONG</t>
        </is>
      </c>
      <c r="E288" s="80" t="inlineStr">
        <is>
          <t>ASHLEY FRENCH</t>
        </is>
      </c>
      <c r="F288" s="80" t="inlineStr">
        <is>
          <t>PHILLIP TRAVIS</t>
        </is>
      </c>
      <c r="G288" s="80" t="inlineStr">
        <is>
          <t>PHILLIP TRAVIS</t>
        </is>
      </c>
      <c r="H288" s="80" t="inlineStr">
        <is>
          <t>156-1</t>
        </is>
      </c>
      <c r="I288" s="111">
        <f>COUNTIF(Tower_3!G:G,'All Associates'!A288)+COUNTIF(Tower_4!G:G,'All Associates'!A288)+COUNTIF(Tower_5!G:G,'All Associates'!A288)+COUNTIF(Tower_6!G:G,'All Associates'!A288)+COUNTIF(Riviera_3!G:G,'All Associates'!A288)+COUNTIF(Riviera_4!G:G,'All Associates'!A288)+COUNTIF(Riviera_5!G:G,'All Associates'!A288)</f>
        <v/>
      </c>
      <c r="J288" s="112">
        <f>IF(I288=0,"Not Allocated",IF(I288=1,"Allocated","Duplicate"))</f>
        <v/>
      </c>
    </row>
    <row r="289" hidden="1">
      <c r="A289" s="83" t="n">
        <v>721</v>
      </c>
      <c r="B289" s="80" t="inlineStr">
        <is>
          <t>TERRY BROWN</t>
        </is>
      </c>
      <c r="C289" s="80" t="inlineStr">
        <is>
          <t>Activ</t>
        </is>
      </c>
      <c r="D289" s="80" t="inlineStr">
        <is>
          <t>JORDAN MARQUEZ</t>
        </is>
      </c>
      <c r="E289" s="80" t="inlineStr">
        <is>
          <t>JEFFREY JONES</t>
        </is>
      </c>
      <c r="F289" s="80" t="inlineStr">
        <is>
          <t>NATHAN HAMILTON</t>
        </is>
      </c>
      <c r="G289" s="80" t="inlineStr">
        <is>
          <t>NATHAN HAMILTON</t>
        </is>
      </c>
      <c r="H289" s="80" t="inlineStr">
        <is>
          <t>221-1</t>
        </is>
      </c>
      <c r="I289" s="111">
        <f>COUNTIF(Tower_3!G:G,'All Associates'!A289)+COUNTIF(Tower_4!G:G,'All Associates'!A289)+COUNTIF(Tower_5!G:G,'All Associates'!A289)+COUNTIF(Tower_6!G:G,'All Associates'!A289)+COUNTIF(Riviera_3!G:G,'All Associates'!A289)+COUNTIF(Riviera_4!G:G,'All Associates'!A289)+COUNTIF(Riviera_5!G:G,'All Associates'!A289)</f>
        <v/>
      </c>
      <c r="J289" s="112">
        <f>IF(I289=0,"Not Allocated",IF(I289=1,"Allocated","Duplicate"))</f>
        <v/>
      </c>
    </row>
    <row r="290" hidden="1">
      <c r="A290" s="83" t="n">
        <v>1087</v>
      </c>
      <c r="B290" s="80" t="inlineStr">
        <is>
          <t>HECTOR WOLF</t>
        </is>
      </c>
      <c r="C290" s="80" t="inlineStr">
        <is>
          <t>Activ</t>
        </is>
      </c>
      <c r="D290" s="80" t="inlineStr">
        <is>
          <t>CHARLES POWELL</t>
        </is>
      </c>
      <c r="E290" s="80" t="inlineStr">
        <is>
          <t>KIMBERLY CLARK</t>
        </is>
      </c>
      <c r="F290" s="80" t="inlineStr">
        <is>
          <t>KIMBERLY CLARK</t>
        </is>
      </c>
      <c r="G290" s="80" t="inlineStr">
        <is>
          <t>CHARLES POWELL</t>
        </is>
      </c>
      <c r="H290" s="80" t="inlineStr">
        <is>
          <t>138-3</t>
        </is>
      </c>
      <c r="I290" s="111">
        <f>COUNTIF(Tower_3!G:G,'All Associates'!A290)+COUNTIF(Tower_4!G:G,'All Associates'!A290)+COUNTIF(Tower_5!G:G,'All Associates'!A290)+COUNTIF(Tower_6!G:G,'All Associates'!A290)+COUNTIF(Riviera_3!G:G,'All Associates'!A290)+COUNTIF(Riviera_4!G:G,'All Associates'!A290)+COUNTIF(Riviera_5!G:G,'All Associates'!A290)</f>
        <v/>
      </c>
      <c r="J290" s="112">
        <f>IF(I290=0,"Not Allocated",IF(I290=1,"Allocated","Duplicate"))</f>
        <v/>
      </c>
    </row>
    <row r="291" hidden="1">
      <c r="A291" s="83" t="n">
        <v>701</v>
      </c>
      <c r="B291" s="80" t="inlineStr">
        <is>
          <t>RITA MATTHEWS</t>
        </is>
      </c>
      <c r="C291" s="80" t="inlineStr">
        <is>
          <t>Activ</t>
        </is>
      </c>
      <c r="D291" s="80" t="inlineStr">
        <is>
          <t>DAVID HARTMAN</t>
        </is>
      </c>
      <c r="E291" s="80" t="inlineStr">
        <is>
          <t>STEPHANIE WEAVER</t>
        </is>
      </c>
      <c r="F291" s="80" t="inlineStr">
        <is>
          <t>MARISSA CROSS</t>
        </is>
      </c>
      <c r="G291" s="80" t="inlineStr">
        <is>
          <t>MARISSA CROSS</t>
        </is>
      </c>
      <c r="H291" s="80" t="inlineStr">
        <is>
          <t>220-2</t>
        </is>
      </c>
      <c r="I291" s="111">
        <f>COUNTIF(Tower_3!G:G,'All Associates'!A291)+COUNTIF(Tower_4!G:G,'All Associates'!A291)+COUNTIF(Tower_5!G:G,'All Associates'!A291)+COUNTIF(Tower_6!G:G,'All Associates'!A291)+COUNTIF(Riviera_3!G:G,'All Associates'!A291)+COUNTIF(Riviera_4!G:G,'All Associates'!A291)+COUNTIF(Riviera_5!G:G,'All Associates'!A291)</f>
        <v/>
      </c>
      <c r="J291" s="112">
        <f>IF(I291=0,"Not Allocated",IF(I291=1,"Allocated","Duplicate"))</f>
        <v/>
      </c>
    </row>
    <row r="292" hidden="1">
      <c r="A292" s="83" t="n">
        <v>1031</v>
      </c>
      <c r="B292" s="80" t="inlineStr">
        <is>
          <t>TIMOTHY LAMBERT</t>
        </is>
      </c>
      <c r="C292" s="80" t="inlineStr">
        <is>
          <t>Activ</t>
        </is>
      </c>
      <c r="D292" s="80" t="inlineStr">
        <is>
          <t>KAYLA HICKS</t>
        </is>
      </c>
      <c r="E292" s="80" t="inlineStr">
        <is>
          <t>ALEXANDER MILLER</t>
        </is>
      </c>
      <c r="F292" s="80" t="inlineStr">
        <is>
          <t>KIMBERLY CLARK</t>
        </is>
      </c>
      <c r="G292" s="80" t="inlineStr">
        <is>
          <t>ALEXANDER MILLER</t>
        </is>
      </c>
      <c r="H292" s="80" t="inlineStr">
        <is>
          <t>135-1</t>
        </is>
      </c>
      <c r="I292" s="111">
        <f>COUNTIF(Tower_3!G:G,'All Associates'!A292)+COUNTIF(Tower_4!G:G,'All Associates'!A292)+COUNTIF(Tower_5!G:G,'All Associates'!A292)+COUNTIF(Tower_6!G:G,'All Associates'!A292)+COUNTIF(Riviera_3!G:G,'All Associates'!A292)+COUNTIF(Riviera_4!G:G,'All Associates'!A292)+COUNTIF(Riviera_5!G:G,'All Associates'!A292)</f>
        <v/>
      </c>
      <c r="J292" s="112">
        <f>IF(I292=0,"Not Allocated",IF(I292=1,"Allocated","Duplicate"))</f>
        <v/>
      </c>
    </row>
    <row r="293" hidden="1">
      <c r="A293" s="83" t="n">
        <v>599</v>
      </c>
      <c r="B293" s="80" t="inlineStr">
        <is>
          <t>KIMBERLY TUCKER</t>
        </is>
      </c>
      <c r="C293" s="80" t="inlineStr">
        <is>
          <t>Activ</t>
        </is>
      </c>
      <c r="D293" s="80" t="inlineStr">
        <is>
          <t>KENNETH DOUGHERTY</t>
        </is>
      </c>
      <c r="E293" s="80" t="inlineStr">
        <is>
          <t>CHELSEA CAMPBELL</t>
        </is>
      </c>
      <c r="F293" s="80" t="inlineStr">
        <is>
          <t>KENNETH CONRAD</t>
        </is>
      </c>
      <c r="G293" s="80" t="inlineStr">
        <is>
          <t>KENNETH CONRAD</t>
        </is>
      </c>
      <c r="H293" s="80" t="inlineStr">
        <is>
          <t>133-1</t>
        </is>
      </c>
      <c r="I293" s="111">
        <f>COUNTIF(Tower_3!G:G,'All Associates'!A293)+COUNTIF(Tower_4!G:G,'All Associates'!A293)+COUNTIF(Tower_5!G:G,'All Associates'!A293)+COUNTIF(Tower_6!G:G,'All Associates'!A293)+COUNTIF(Riviera_3!G:G,'All Associates'!A293)+COUNTIF(Riviera_4!G:G,'All Associates'!A293)+COUNTIF(Riviera_5!G:G,'All Associates'!A293)</f>
        <v/>
      </c>
      <c r="J293" s="112">
        <f>IF(I293=0,"Not Allocated",IF(I293=1,"Allocated","Duplicate"))</f>
        <v/>
      </c>
    </row>
    <row r="294">
      <c r="A294" s="90" t="n">
        <v>275</v>
      </c>
      <c r="B294" s="91" t="inlineStr">
        <is>
          <t>LISA GORDON</t>
        </is>
      </c>
      <c r="C294" s="91" t="inlineStr">
        <is>
          <t>Suspendat</t>
        </is>
      </c>
      <c r="D294" s="91" t="inlineStr">
        <is>
          <t>TRAVIS WHITE</t>
        </is>
      </c>
      <c r="E294" s="91" t="inlineStr">
        <is>
          <t>KIMBERLY CLARK</t>
        </is>
      </c>
      <c r="F294" s="91" t="inlineStr">
        <is>
          <t>KIMBERLY CLARK</t>
        </is>
      </c>
      <c r="G294" s="91" t="inlineStr">
        <is>
          <t>KIMBERLY CLARK</t>
        </is>
      </c>
      <c r="H294" s="91" t="inlineStr">
        <is>
          <t>200-1</t>
        </is>
      </c>
      <c r="I294" s="111">
        <f>COUNTIF(Tower_3!G:G,'All Associates'!A294)+COUNTIF(Tower_4!G:G,'All Associates'!A294)+COUNTIF(Tower_5!G:G,'All Associates'!A294)+COUNTIF(Tower_6!G:G,'All Associates'!A294)+COUNTIF(Riviera_3!G:G,'All Associates'!A294)+COUNTIF(Riviera_4!G:G,'All Associates'!A294)+COUNTIF(Riviera_5!G:G,'All Associates'!A294)</f>
        <v/>
      </c>
      <c r="J294" s="112">
        <f>IF(I294=0,"Not Allocated",IF(I294=1,"Allocated","Duplicate"))</f>
        <v/>
      </c>
    </row>
    <row r="295" hidden="1">
      <c r="A295" s="83" t="n">
        <v>934</v>
      </c>
      <c r="B295" s="80" t="inlineStr">
        <is>
          <t>JOSHUA LEWIS</t>
        </is>
      </c>
      <c r="C295" s="80" t="inlineStr">
        <is>
          <t>Activ</t>
        </is>
      </c>
      <c r="D295" s="80" t="inlineStr">
        <is>
          <t>LISA KIM</t>
        </is>
      </c>
      <c r="E295" s="80" t="inlineStr">
        <is>
          <t>OSCAR TYLER</t>
        </is>
      </c>
      <c r="F295" s="80" t="inlineStr">
        <is>
          <t>KENNETH CONRAD</t>
        </is>
      </c>
      <c r="G295" s="80" t="inlineStr">
        <is>
          <t>KENNETH CONRAD</t>
        </is>
      </c>
      <c r="H295" s="80" t="inlineStr">
        <is>
          <t>127-1</t>
        </is>
      </c>
      <c r="I295" s="111">
        <f>COUNTIF(Tower_3!G:G,'All Associates'!A295)+COUNTIF(Tower_4!G:G,'All Associates'!A295)+COUNTIF(Tower_5!G:G,'All Associates'!A295)+COUNTIF(Tower_6!G:G,'All Associates'!A295)+COUNTIF(Riviera_3!G:G,'All Associates'!A295)+COUNTIF(Riviera_4!G:G,'All Associates'!A295)+COUNTIF(Riviera_5!G:G,'All Associates'!A295)</f>
        <v/>
      </c>
      <c r="J295" s="112">
        <f>IF(I295=0,"Not Allocated",IF(I295=1,"Allocated","Duplicate"))</f>
        <v/>
      </c>
    </row>
    <row r="296" hidden="1">
      <c r="A296" s="83" t="n">
        <v>357</v>
      </c>
      <c r="B296" s="80" t="inlineStr">
        <is>
          <t>RONNIE SAUNDERS</t>
        </is>
      </c>
      <c r="C296" s="80" t="inlineStr">
        <is>
          <t>Activ</t>
        </is>
      </c>
      <c r="D296" s="80" t="inlineStr">
        <is>
          <t>LARRY KIM</t>
        </is>
      </c>
      <c r="E296" s="80" t="inlineStr">
        <is>
          <t>KENNETH CONRAD</t>
        </is>
      </c>
      <c r="F296" s="80" t="inlineStr">
        <is>
          <t>KIMBERLY CLARK</t>
        </is>
      </c>
      <c r="G296" s="80" t="inlineStr">
        <is>
          <t>KENNETH CONRAD</t>
        </is>
      </c>
      <c r="H296" s="80" t="inlineStr">
        <is>
          <t>127-1</t>
        </is>
      </c>
      <c r="I296" s="111">
        <f>COUNTIF(Tower_3!G:G,'All Associates'!A296)+COUNTIF(Tower_4!G:G,'All Associates'!A296)+COUNTIF(Tower_5!G:G,'All Associates'!A296)+COUNTIF(Tower_6!G:G,'All Associates'!A296)+COUNTIF(Riviera_3!G:G,'All Associates'!A296)+COUNTIF(Riviera_4!G:G,'All Associates'!A296)+COUNTIF(Riviera_5!G:G,'All Associates'!A296)</f>
        <v/>
      </c>
      <c r="J296" s="112">
        <f>IF(I296=0,"Not Allocated",IF(I296=1,"Allocated","Duplicate"))</f>
        <v/>
      </c>
    </row>
    <row r="297" hidden="1">
      <c r="A297" s="83" t="n">
        <v>1216</v>
      </c>
      <c r="B297" s="80" t="inlineStr">
        <is>
          <t>TONY BUTLER</t>
        </is>
      </c>
      <c r="C297" s="80" t="inlineStr">
        <is>
          <t>Activ</t>
        </is>
      </c>
      <c r="D297" s="80" t="inlineStr">
        <is>
          <t>HOLLY WALKER</t>
        </is>
      </c>
      <c r="E297" s="80" t="inlineStr">
        <is>
          <t>DOROTHY MARSHALL</t>
        </is>
      </c>
      <c r="F297" s="80" t="inlineStr">
        <is>
          <t>KIMBERLY CLARK</t>
        </is>
      </c>
      <c r="G297" s="80" t="inlineStr">
        <is>
          <t>KIMBERLY CLARK</t>
        </is>
      </c>
      <c r="H297" s="80" t="inlineStr">
        <is>
          <t>230-1</t>
        </is>
      </c>
      <c r="I297" s="111">
        <f>COUNTIF(Tower_3!G:G,'All Associates'!A297)+COUNTIF(Tower_4!G:G,'All Associates'!A297)+COUNTIF(Tower_5!G:G,'All Associates'!A297)+COUNTIF(Tower_6!G:G,'All Associates'!A297)+COUNTIF(Riviera_3!G:G,'All Associates'!A297)+COUNTIF(Riviera_4!G:G,'All Associates'!A297)+COUNTIF(Riviera_5!G:G,'All Associates'!A297)</f>
        <v/>
      </c>
      <c r="J297" s="112">
        <f>IF(I297=0,"Not Allocated",IF(I297=1,"Allocated","Duplicate"))</f>
        <v/>
      </c>
    </row>
    <row r="298" hidden="1">
      <c r="A298" s="83" t="n">
        <v>418</v>
      </c>
      <c r="B298" s="80" t="inlineStr">
        <is>
          <t>SCOTT DIXON</t>
        </is>
      </c>
      <c r="C298" s="80" t="inlineStr">
        <is>
          <t>Activ</t>
        </is>
      </c>
      <c r="D298" s="80" t="inlineStr">
        <is>
          <t>STEPHANIE WEAVER</t>
        </is>
      </c>
      <c r="E298" s="80" t="inlineStr">
        <is>
          <t>MARISSA CROSS</t>
        </is>
      </c>
      <c r="F298" s="80" t="inlineStr">
        <is>
          <t>KIMBERLY CLARK</t>
        </is>
      </c>
      <c r="G298" s="80" t="inlineStr">
        <is>
          <t>MARISSA CROSS</t>
        </is>
      </c>
      <c r="H298" s="80" t="inlineStr">
        <is>
          <t>220-2</t>
        </is>
      </c>
      <c r="I298" s="111">
        <f>COUNTIF(Tower_3!G:G,'All Associates'!A298)+COUNTIF(Tower_4!G:G,'All Associates'!A298)+COUNTIF(Tower_5!G:G,'All Associates'!A298)+COUNTIF(Tower_6!G:G,'All Associates'!A298)+COUNTIF(Riviera_3!G:G,'All Associates'!A298)+COUNTIF(Riviera_4!G:G,'All Associates'!A298)+COUNTIF(Riviera_5!G:G,'All Associates'!A298)</f>
        <v/>
      </c>
      <c r="J298" s="112">
        <f>IF(I298=0,"Not Allocated",IF(I298=1,"Allocated","Duplicate"))</f>
        <v/>
      </c>
    </row>
    <row r="299" hidden="1">
      <c r="A299" s="83" t="n">
        <v>895</v>
      </c>
      <c r="B299" s="80" t="inlineStr">
        <is>
          <t>ADAM TANNER</t>
        </is>
      </c>
      <c r="C299" s="80" t="inlineStr">
        <is>
          <t>Activ</t>
        </is>
      </c>
      <c r="D299" s="80" t="inlineStr">
        <is>
          <t>CURTIS BROWN JR.</t>
        </is>
      </c>
      <c r="E299" s="80" t="inlineStr">
        <is>
          <t>KIMBERLY CLARK</t>
        </is>
      </c>
      <c r="F299" s="80" t="inlineStr">
        <is>
          <t>KIMBERLY CLARK</t>
        </is>
      </c>
      <c r="G299" s="80" t="inlineStr">
        <is>
          <t>CURTIS BROWN JR.</t>
        </is>
      </c>
      <c r="H299" s="80" t="inlineStr">
        <is>
          <t>220-1</t>
        </is>
      </c>
      <c r="I299" s="111">
        <f>COUNTIF(Tower_3!G:G,'All Associates'!A299)+COUNTIF(Tower_4!G:G,'All Associates'!A299)+COUNTIF(Tower_5!G:G,'All Associates'!A299)+COUNTIF(Tower_6!G:G,'All Associates'!A299)+COUNTIF(Riviera_3!G:G,'All Associates'!A299)+COUNTIF(Riviera_4!G:G,'All Associates'!A299)+COUNTIF(Riviera_5!G:G,'All Associates'!A299)</f>
        <v/>
      </c>
      <c r="J299" s="112">
        <f>IF(I299=0,"Not Allocated",IF(I299=1,"Allocated","Duplicate"))</f>
        <v/>
      </c>
    </row>
    <row r="300">
      <c r="A300" s="84" t="n">
        <v>1179</v>
      </c>
      <c r="B300" s="81" t="inlineStr">
        <is>
          <t>ADAM COCHRAN</t>
        </is>
      </c>
      <c r="C300" s="81" t="inlineStr">
        <is>
          <t>Activ</t>
        </is>
      </c>
      <c r="D300" s="81" t="inlineStr">
        <is>
          <t>ALICIA WOODS</t>
        </is>
      </c>
      <c r="E300" s="81" t="inlineStr">
        <is>
          <t>KIMBERLY CLARK</t>
        </is>
      </c>
      <c r="F300" s="81" t="inlineStr">
        <is>
          <t>KIMBERLY CLARK</t>
        </is>
      </c>
      <c r="G300" s="81" t="inlineStr">
        <is>
          <t>KIMBERLY CLARK</t>
        </is>
      </c>
      <c r="H300" s="81" t="inlineStr">
        <is>
          <t>411-1</t>
        </is>
      </c>
      <c r="I300" s="111">
        <f>COUNTIF(Tower_3!G:G,'All Associates'!A300)+COUNTIF(Tower_4!G:G,'All Associates'!A300)+COUNTIF(Tower_5!G:G,'All Associates'!A300)+COUNTIF(Tower_6!G:G,'All Associates'!A300)+COUNTIF(Riviera_3!G:G,'All Associates'!A300)+COUNTIF(Riviera_4!G:G,'All Associates'!A300)+COUNTIF(Riviera_5!G:G,'All Associates'!A300)</f>
        <v/>
      </c>
      <c r="J300" s="112">
        <f>IF(I300=0,"Not Allocated",IF(I300=1,"Allocated","Duplicate"))</f>
        <v/>
      </c>
    </row>
    <row r="301" hidden="1">
      <c r="A301" s="83" t="n">
        <v>750</v>
      </c>
      <c r="B301" s="80" t="inlineStr">
        <is>
          <t>RENEE HAYES</t>
        </is>
      </c>
      <c r="C301" s="80" t="inlineStr">
        <is>
          <t>Activ</t>
        </is>
      </c>
      <c r="D301" s="80" t="inlineStr">
        <is>
          <t>STEPHEN GARCIA</t>
        </is>
      </c>
      <c r="E301" s="80" t="inlineStr">
        <is>
          <t>NATHAN HAMILTON</t>
        </is>
      </c>
      <c r="F301" s="80" t="inlineStr">
        <is>
          <t>KIMBERLY CLARK</t>
        </is>
      </c>
      <c r="G301" s="80" t="inlineStr">
        <is>
          <t>NATHAN HAMILTON</t>
        </is>
      </c>
      <c r="H301" s="80" t="inlineStr">
        <is>
          <t>221-1</t>
        </is>
      </c>
      <c r="I301" s="111">
        <f>COUNTIF(Tower_3!G:G,'All Associates'!A301)+COUNTIF(Tower_4!G:G,'All Associates'!A301)+COUNTIF(Tower_5!G:G,'All Associates'!A301)+COUNTIF(Tower_6!G:G,'All Associates'!A301)+COUNTIF(Riviera_3!G:G,'All Associates'!A301)+COUNTIF(Riviera_4!G:G,'All Associates'!A301)+COUNTIF(Riviera_5!G:G,'All Associates'!A301)</f>
        <v/>
      </c>
      <c r="J301" s="112">
        <f>IF(I301=0,"Not Allocated",IF(I301=1,"Allocated","Duplicate"))</f>
        <v/>
      </c>
    </row>
    <row r="302" hidden="1">
      <c r="A302" s="90" t="n">
        <v>729</v>
      </c>
      <c r="B302" s="91" t="inlineStr">
        <is>
          <t>ALEJANDRA DUNN</t>
        </is>
      </c>
      <c r="C302" s="91" t="inlineStr">
        <is>
          <t>Suspendat</t>
        </is>
      </c>
      <c r="D302" s="91" t="inlineStr">
        <is>
          <t>TIFFANY WARD</t>
        </is>
      </c>
      <c r="E302" s="91" t="inlineStr">
        <is>
          <t>CHELSEA CAMPBELL</t>
        </is>
      </c>
      <c r="F302" s="91" t="inlineStr">
        <is>
          <t>KENNETH CONRAD</t>
        </is>
      </c>
      <c r="G302" s="91" t="inlineStr">
        <is>
          <t>KENNETH CONRAD</t>
        </is>
      </c>
      <c r="H302" s="91" t="inlineStr">
        <is>
          <t>133-1</t>
        </is>
      </c>
      <c r="I302" s="111">
        <f>COUNTIF(Tower_3!G:G,'All Associates'!A302)+COUNTIF(Tower_4!G:G,'All Associates'!A302)+COUNTIF(Tower_5!G:G,'All Associates'!A302)+COUNTIF(Tower_6!G:G,'All Associates'!A302)+COUNTIF(Riviera_3!G:G,'All Associates'!A302)+COUNTIF(Riviera_4!G:G,'All Associates'!A302)+COUNTIF(Riviera_5!G:G,'All Associates'!A302)</f>
        <v/>
      </c>
      <c r="J302" s="112">
        <f>IF(I302=0,"Not Allocated",IF(I302=1,"Allocated","Duplicate"))</f>
        <v/>
      </c>
    </row>
    <row r="303" hidden="1">
      <c r="A303" s="83" t="n">
        <v>276</v>
      </c>
      <c r="B303" s="80" t="inlineStr">
        <is>
          <t>DAN SANCHEZ</t>
        </is>
      </c>
      <c r="C303" s="80" t="inlineStr">
        <is>
          <t>Activ</t>
        </is>
      </c>
      <c r="D303" s="80" t="inlineStr">
        <is>
          <t>DANIEL ALVAREZ</t>
        </is>
      </c>
      <c r="E303" s="80" t="inlineStr">
        <is>
          <t>ALEXANDER BAUTISTA</t>
        </is>
      </c>
      <c r="F303" s="80" t="inlineStr">
        <is>
          <t>HEATHER SOLIS</t>
        </is>
      </c>
      <c r="G303" s="80" t="inlineStr">
        <is>
          <t>HEATHER SOLIS</t>
        </is>
      </c>
      <c r="H303" s="80" t="inlineStr">
        <is>
          <t>138-1</t>
        </is>
      </c>
      <c r="I303" s="111">
        <f>COUNTIF(Tower_3!G:G,'All Associates'!A303)+COUNTIF(Tower_4!G:G,'All Associates'!A303)+COUNTIF(Tower_5!G:G,'All Associates'!A303)+COUNTIF(Tower_6!G:G,'All Associates'!A303)+COUNTIF(Riviera_3!G:G,'All Associates'!A303)+COUNTIF(Riviera_4!G:G,'All Associates'!A303)+COUNTIF(Riviera_5!G:G,'All Associates'!A303)</f>
        <v/>
      </c>
      <c r="J303" s="112">
        <f>IF(I303=0,"Not Allocated",IF(I303=1,"Allocated","Duplicate"))</f>
        <v/>
      </c>
    </row>
    <row r="304" hidden="1">
      <c r="A304" s="83" t="n">
        <v>1119</v>
      </c>
      <c r="B304" s="80" t="inlineStr">
        <is>
          <t>JOHN BOOTH</t>
        </is>
      </c>
      <c r="C304" s="80" t="inlineStr">
        <is>
          <t>Activ</t>
        </is>
      </c>
      <c r="D304" s="80" t="inlineStr">
        <is>
          <t>HEATHER SOLIS</t>
        </is>
      </c>
      <c r="E304" s="80" t="inlineStr">
        <is>
          <t>KIMBERLY CLARK</t>
        </is>
      </c>
      <c r="F304" s="80" t="inlineStr">
        <is>
          <t>KIMBERLY CLARK</t>
        </is>
      </c>
      <c r="G304" s="80" t="inlineStr">
        <is>
          <t>HEATHER SOLIS</t>
        </is>
      </c>
      <c r="H304" s="80" t="inlineStr">
        <is>
          <t>138-1</t>
        </is>
      </c>
      <c r="I304" s="111">
        <f>COUNTIF(Tower_3!G:G,'All Associates'!A304)+COUNTIF(Tower_4!G:G,'All Associates'!A304)+COUNTIF(Tower_5!G:G,'All Associates'!A304)+COUNTIF(Tower_6!G:G,'All Associates'!A304)+COUNTIF(Riviera_3!G:G,'All Associates'!A304)+COUNTIF(Riviera_4!G:G,'All Associates'!A304)+COUNTIF(Riviera_5!G:G,'All Associates'!A304)</f>
        <v/>
      </c>
      <c r="J304" s="112">
        <f>IF(I304=0,"Not Allocated",IF(I304=1,"Allocated","Duplicate"))</f>
        <v/>
      </c>
    </row>
    <row r="305" hidden="1">
      <c r="A305" s="83" t="n">
        <v>1050</v>
      </c>
      <c r="B305" s="80" t="inlineStr">
        <is>
          <t>WILLIAM CABRERA</t>
        </is>
      </c>
      <c r="C305" s="80" t="inlineStr">
        <is>
          <t>Activ</t>
        </is>
      </c>
      <c r="D305" s="80" t="inlineStr">
        <is>
          <t>RHONDA WILLIAMS</t>
        </is>
      </c>
      <c r="E305" s="80" t="inlineStr">
        <is>
          <t>CHARLES POWELL</t>
        </is>
      </c>
      <c r="F305" s="80" t="inlineStr">
        <is>
          <t>KIMBERLY CLARK</t>
        </is>
      </c>
      <c r="G305" s="80" t="inlineStr">
        <is>
          <t>CHARLES POWELL</t>
        </is>
      </c>
      <c r="H305" s="80" t="inlineStr">
        <is>
          <t>138-3</t>
        </is>
      </c>
      <c r="I305" s="111">
        <f>COUNTIF(Tower_3!G:G,'All Associates'!A305)+COUNTIF(Tower_4!G:G,'All Associates'!A305)+COUNTIF(Tower_5!G:G,'All Associates'!A305)+COUNTIF(Tower_6!G:G,'All Associates'!A305)+COUNTIF(Riviera_3!G:G,'All Associates'!A305)+COUNTIF(Riviera_4!G:G,'All Associates'!A305)+COUNTIF(Riviera_5!G:G,'All Associates'!A305)</f>
        <v/>
      </c>
      <c r="J305" s="112">
        <f>IF(I305=0,"Not Allocated",IF(I305=1,"Allocated","Duplicate"))</f>
        <v/>
      </c>
    </row>
    <row r="306" hidden="1">
      <c r="A306" s="83" t="n">
        <v>274</v>
      </c>
      <c r="B306" s="80" t="inlineStr">
        <is>
          <t>CHRISTOPHER BAKER</t>
        </is>
      </c>
      <c r="C306" s="80" t="inlineStr">
        <is>
          <t>Activ</t>
        </is>
      </c>
      <c r="D306" s="80" t="inlineStr">
        <is>
          <t>JULIE MARTIN MD</t>
        </is>
      </c>
      <c r="E306" s="80" t="inlineStr">
        <is>
          <t>KIMBERLY CLARK</t>
        </is>
      </c>
      <c r="F306" s="80" t="inlineStr">
        <is>
          <t>KIMBERLY CLARK</t>
        </is>
      </c>
      <c r="G306" s="80" t="inlineStr">
        <is>
          <t>KIMBERLY CLARK</t>
        </is>
      </c>
      <c r="H306" s="80" t="inlineStr">
        <is>
          <t>200-1</t>
        </is>
      </c>
      <c r="I306" s="111">
        <f>COUNTIF(Tower_3!G:G,'All Associates'!A306)+COUNTIF(Tower_4!G:G,'All Associates'!A306)+COUNTIF(Tower_5!G:G,'All Associates'!A306)+COUNTIF(Tower_6!G:G,'All Associates'!A306)+COUNTIF(Riviera_3!G:G,'All Associates'!A306)+COUNTIF(Riviera_4!G:G,'All Associates'!A306)+COUNTIF(Riviera_5!G:G,'All Associates'!A306)</f>
        <v/>
      </c>
      <c r="J306" s="112">
        <f>IF(I306=0,"Not Allocated",IF(I306=1,"Allocated","Duplicate"))</f>
        <v/>
      </c>
    </row>
    <row r="307" hidden="1">
      <c r="A307" s="83" t="n">
        <v>1207</v>
      </c>
      <c r="B307" s="80" t="inlineStr">
        <is>
          <t>BRIANA KELLY</t>
        </is>
      </c>
      <c r="C307" s="80" t="inlineStr">
        <is>
          <t>Activ</t>
        </is>
      </c>
      <c r="D307" s="80" t="inlineStr">
        <is>
          <t>RUSSELL ROWE</t>
        </is>
      </c>
      <c r="E307" s="80" t="inlineStr">
        <is>
          <t>ALEXANDER BAUTISTA</t>
        </is>
      </c>
      <c r="F307" s="80" t="inlineStr">
        <is>
          <t>HEATHER SOLIS</t>
        </is>
      </c>
      <c r="G307" s="80" t="inlineStr">
        <is>
          <t>HEATHER SOLIS</t>
        </is>
      </c>
      <c r="H307" s="80" t="inlineStr">
        <is>
          <t>138-1</t>
        </is>
      </c>
      <c r="I307" s="111">
        <f>COUNTIF(Tower_3!G:G,'All Associates'!A307)+COUNTIF(Tower_4!G:G,'All Associates'!A307)+COUNTIF(Tower_5!G:G,'All Associates'!A307)+COUNTIF(Tower_6!G:G,'All Associates'!A307)+COUNTIF(Riviera_3!G:G,'All Associates'!A307)+COUNTIF(Riviera_4!G:G,'All Associates'!A307)+COUNTIF(Riviera_5!G:G,'All Associates'!A307)</f>
        <v/>
      </c>
      <c r="J307" s="112">
        <f>IF(I307=0,"Not Allocated",IF(I307=1,"Allocated","Duplicate"))</f>
        <v/>
      </c>
    </row>
    <row r="308" hidden="1">
      <c r="A308" s="83" t="n">
        <v>571</v>
      </c>
      <c r="B308" s="80" t="inlineStr">
        <is>
          <t>JEFF JOHNSON</t>
        </is>
      </c>
      <c r="C308" s="80" t="inlineStr">
        <is>
          <t>Activ</t>
        </is>
      </c>
      <c r="D308" s="80" t="inlineStr">
        <is>
          <t>ADAM SMITH</t>
        </is>
      </c>
      <c r="E308" s="80" t="inlineStr">
        <is>
          <t>PHILLIP TRAVIS</t>
        </is>
      </c>
      <c r="F308" s="80" t="inlineStr">
        <is>
          <t>KIMBERLY CLARK</t>
        </is>
      </c>
      <c r="G308" s="80" t="inlineStr">
        <is>
          <t>PHILLIP TRAVIS</t>
        </is>
      </c>
      <c r="H308" s="80" t="inlineStr">
        <is>
          <t>156-1</t>
        </is>
      </c>
      <c r="I308" s="111">
        <f>COUNTIF(Tower_3!G:G,'All Associates'!A308)+COUNTIF(Tower_4!G:G,'All Associates'!A308)+COUNTIF(Tower_5!G:G,'All Associates'!A308)+COUNTIF(Tower_6!G:G,'All Associates'!A308)+COUNTIF(Riviera_3!G:G,'All Associates'!A308)+COUNTIF(Riviera_4!G:G,'All Associates'!A308)+COUNTIF(Riviera_5!G:G,'All Associates'!A308)</f>
        <v/>
      </c>
      <c r="J308" s="112">
        <f>IF(I308=0,"Not Allocated",IF(I308=1,"Allocated","Duplicate"))</f>
        <v/>
      </c>
    </row>
    <row r="309" hidden="1">
      <c r="A309" s="83" t="n">
        <v>1202</v>
      </c>
      <c r="B309" s="80" t="inlineStr">
        <is>
          <t>IVAN MARQUEZ</t>
        </is>
      </c>
      <c r="C309" s="80" t="inlineStr">
        <is>
          <t>Activ</t>
        </is>
      </c>
      <c r="D309" s="80" t="inlineStr">
        <is>
          <t>LESLIE DIAZ</t>
        </is>
      </c>
      <c r="E309" s="80" t="inlineStr">
        <is>
          <t>ALEXANDER BAUTISTA</t>
        </is>
      </c>
      <c r="F309" s="80" t="inlineStr">
        <is>
          <t>HEATHER SOLIS</t>
        </is>
      </c>
      <c r="G309" s="80" t="inlineStr">
        <is>
          <t>HEATHER SOLIS</t>
        </is>
      </c>
      <c r="H309" s="80" t="inlineStr">
        <is>
          <t>138-1</t>
        </is>
      </c>
      <c r="I309" s="111">
        <f>COUNTIF(Tower_3!G:G,'All Associates'!A309)+COUNTIF(Tower_4!G:G,'All Associates'!A309)+COUNTIF(Tower_5!G:G,'All Associates'!A309)+COUNTIF(Tower_6!G:G,'All Associates'!A309)+COUNTIF(Riviera_3!G:G,'All Associates'!A309)+COUNTIF(Riviera_4!G:G,'All Associates'!A309)+COUNTIF(Riviera_5!G:G,'All Associates'!A309)</f>
        <v/>
      </c>
      <c r="J309" s="112">
        <f>IF(I309=0,"Not Allocated",IF(I309=1,"Allocated","Duplicate"))</f>
        <v/>
      </c>
    </row>
    <row r="310" hidden="1">
      <c r="A310" s="83" t="n">
        <v>1206</v>
      </c>
      <c r="B310" s="80" t="inlineStr">
        <is>
          <t>CHRISTOPHER BOWEN</t>
        </is>
      </c>
      <c r="C310" s="80" t="inlineStr">
        <is>
          <t>Activ</t>
        </is>
      </c>
      <c r="D310" s="80" t="inlineStr">
        <is>
          <t>CHRISTOPHER HUFFMAN</t>
        </is>
      </c>
      <c r="E310" s="80" t="inlineStr">
        <is>
          <t>CHARLES POWELL</t>
        </is>
      </c>
      <c r="F310" s="80" t="inlineStr">
        <is>
          <t>KIMBERLY CLARK</t>
        </is>
      </c>
      <c r="G310" s="80" t="inlineStr">
        <is>
          <t>CHARLES POWELL</t>
        </is>
      </c>
      <c r="H310" s="80" t="inlineStr">
        <is>
          <t>138-3</t>
        </is>
      </c>
      <c r="I310" s="111">
        <f>COUNTIF(Tower_3!G:G,'All Associates'!A310)+COUNTIF(Tower_4!G:G,'All Associates'!A310)+COUNTIF(Tower_5!G:G,'All Associates'!A310)+COUNTIF(Tower_6!G:G,'All Associates'!A310)+COUNTIF(Riviera_3!G:G,'All Associates'!A310)+COUNTIF(Riviera_4!G:G,'All Associates'!A310)+COUNTIF(Riviera_5!G:G,'All Associates'!A310)</f>
        <v/>
      </c>
      <c r="J310" s="112">
        <f>IF(I310=0,"Not Allocated",IF(I310=1,"Allocated","Duplicate"))</f>
        <v/>
      </c>
    </row>
    <row r="311" hidden="1">
      <c r="A311" s="83" t="n">
        <v>512</v>
      </c>
      <c r="B311" s="80" t="inlineStr">
        <is>
          <t>AUSTIN YOUNG</t>
        </is>
      </c>
      <c r="C311" s="80" t="inlineStr">
        <is>
          <t>Activ</t>
        </is>
      </c>
      <c r="D311" s="80" t="inlineStr">
        <is>
          <t>SUSAN RAY</t>
        </is>
      </c>
      <c r="E311" s="80" t="inlineStr">
        <is>
          <t>ALEXANDER MILLER</t>
        </is>
      </c>
      <c r="F311" s="80" t="inlineStr">
        <is>
          <t>KIMBERLY CLARK</t>
        </is>
      </c>
      <c r="G311" s="80" t="inlineStr">
        <is>
          <t>ALEXANDER MILLER</t>
        </is>
      </c>
      <c r="H311" s="80" t="inlineStr">
        <is>
          <t>196-1</t>
        </is>
      </c>
      <c r="I311" s="111">
        <f>COUNTIF(Tower_3!G:G,'All Associates'!A311)+COUNTIF(Tower_4!G:G,'All Associates'!A311)+COUNTIF(Tower_5!G:G,'All Associates'!A311)+COUNTIF(Tower_6!G:G,'All Associates'!A311)+COUNTIF(Riviera_3!G:G,'All Associates'!A311)+COUNTIF(Riviera_4!G:G,'All Associates'!A311)+COUNTIF(Riviera_5!G:G,'All Associates'!A311)</f>
        <v/>
      </c>
      <c r="J311" s="112">
        <f>IF(I311=0,"Not Allocated",IF(I311=1,"Allocated","Duplicate"))</f>
        <v/>
      </c>
    </row>
    <row r="312" hidden="1">
      <c r="A312" s="83" t="n">
        <v>880</v>
      </c>
      <c r="B312" s="80" t="inlineStr">
        <is>
          <t>VICKI HOLT</t>
        </is>
      </c>
      <c r="C312" s="80" t="inlineStr">
        <is>
          <t>Activ</t>
        </is>
      </c>
      <c r="D312" s="80" t="inlineStr">
        <is>
          <t>THERESA HENRY</t>
        </is>
      </c>
      <c r="E312" s="80" t="inlineStr">
        <is>
          <t>ASHLEY FRENCH</t>
        </is>
      </c>
      <c r="F312" s="80" t="inlineStr">
        <is>
          <t>PHILLIP TRAVIS</t>
        </is>
      </c>
      <c r="G312" s="80" t="inlineStr">
        <is>
          <t>PHILLIP TRAVIS</t>
        </is>
      </c>
      <c r="H312" s="80" t="inlineStr">
        <is>
          <t>156-1</t>
        </is>
      </c>
      <c r="I312" s="111">
        <f>COUNTIF(Tower_3!G:G,'All Associates'!A312)+COUNTIF(Tower_4!G:G,'All Associates'!A312)+COUNTIF(Tower_5!G:G,'All Associates'!A312)+COUNTIF(Tower_6!G:G,'All Associates'!A312)+COUNTIF(Riviera_3!G:G,'All Associates'!A312)+COUNTIF(Riviera_4!G:G,'All Associates'!A312)+COUNTIF(Riviera_5!G:G,'All Associates'!A312)</f>
        <v/>
      </c>
      <c r="J312" s="112">
        <f>IF(I312=0,"Not Allocated",IF(I312=1,"Allocated","Duplicate"))</f>
        <v/>
      </c>
    </row>
    <row r="313" hidden="1">
      <c r="A313" s="83" t="n">
        <v>720</v>
      </c>
      <c r="B313" s="80" t="inlineStr">
        <is>
          <t>MARY LEWIS</t>
        </is>
      </c>
      <c r="C313" s="80" t="inlineStr">
        <is>
          <t>Activ</t>
        </is>
      </c>
      <c r="D313" s="80" t="inlineStr">
        <is>
          <t>KAYLA HICKS</t>
        </is>
      </c>
      <c r="E313" s="80" t="inlineStr">
        <is>
          <t>ALEXANDER MILLER</t>
        </is>
      </c>
      <c r="F313" s="80" t="inlineStr">
        <is>
          <t>KIMBERLY CLARK</t>
        </is>
      </c>
      <c r="G313" s="80" t="inlineStr">
        <is>
          <t>ALEXANDER MILLER</t>
        </is>
      </c>
      <c r="H313" s="80" t="inlineStr">
        <is>
          <t>135-1</t>
        </is>
      </c>
      <c r="I313" s="111">
        <f>COUNTIF(Tower_3!G:G,'All Associates'!A313)+COUNTIF(Tower_4!G:G,'All Associates'!A313)+COUNTIF(Tower_5!G:G,'All Associates'!A313)+COUNTIF(Tower_6!G:G,'All Associates'!A313)+COUNTIF(Riviera_3!G:G,'All Associates'!A313)+COUNTIF(Riviera_4!G:G,'All Associates'!A313)+COUNTIF(Riviera_5!G:G,'All Associates'!A313)</f>
        <v/>
      </c>
      <c r="J313" s="112">
        <f>IF(I313=0,"Not Allocated",IF(I313=1,"Allocated","Duplicate"))</f>
        <v/>
      </c>
    </row>
    <row r="314" hidden="1">
      <c r="A314" s="83" t="n">
        <v>485</v>
      </c>
      <c r="B314" s="80" t="inlineStr">
        <is>
          <t>TIMOTHY CLARK</t>
        </is>
      </c>
      <c r="C314" s="80" t="inlineStr">
        <is>
          <t>Activ</t>
        </is>
      </c>
      <c r="D314" s="80" t="inlineStr">
        <is>
          <t>MS. KAITLIN WILKINSON</t>
        </is>
      </c>
      <c r="E314" s="80" t="inlineStr">
        <is>
          <t>ALEXANDER BAUTISTA</t>
        </is>
      </c>
      <c r="F314" s="80" t="inlineStr">
        <is>
          <t>HEATHER SOLIS</t>
        </is>
      </c>
      <c r="G314" s="80" t="inlineStr">
        <is>
          <t>HEATHER SOLIS</t>
        </is>
      </c>
      <c r="H314" s="80" t="inlineStr">
        <is>
          <t>138-1</t>
        </is>
      </c>
      <c r="I314" s="111">
        <f>COUNTIF(Tower_3!G:G,'All Associates'!A314)+COUNTIF(Tower_4!G:G,'All Associates'!A314)+COUNTIF(Tower_5!G:G,'All Associates'!A314)+COUNTIF(Tower_6!G:G,'All Associates'!A314)+COUNTIF(Riviera_3!G:G,'All Associates'!A314)+COUNTIF(Riviera_4!G:G,'All Associates'!A314)+COUNTIF(Riviera_5!G:G,'All Associates'!A314)</f>
        <v/>
      </c>
      <c r="J314" s="112">
        <f>IF(I314=0,"Not Allocated",IF(I314=1,"Allocated","Duplicate"))</f>
        <v/>
      </c>
    </row>
    <row r="315" hidden="1">
      <c r="A315" s="83" t="n">
        <v>706</v>
      </c>
      <c r="B315" s="80" t="inlineStr">
        <is>
          <t>HENRY MENDOZA</t>
        </is>
      </c>
      <c r="C315" s="80" t="inlineStr">
        <is>
          <t>Activ</t>
        </is>
      </c>
      <c r="D315" s="80" t="inlineStr">
        <is>
          <t>KAYLA HICKS</t>
        </is>
      </c>
      <c r="E315" s="80" t="inlineStr">
        <is>
          <t>ALEXANDER MILLER</t>
        </is>
      </c>
      <c r="F315" s="80" t="inlineStr">
        <is>
          <t>KIMBERLY CLARK</t>
        </is>
      </c>
      <c r="G315" s="80" t="inlineStr">
        <is>
          <t>ALEXANDER MILLER</t>
        </is>
      </c>
      <c r="H315" s="80" t="inlineStr">
        <is>
          <t>135-1</t>
        </is>
      </c>
      <c r="I315" s="111">
        <f>COUNTIF(Tower_3!G:G,'All Associates'!A315)+COUNTIF(Tower_4!G:G,'All Associates'!A315)+COUNTIF(Tower_5!G:G,'All Associates'!A315)+COUNTIF(Tower_6!G:G,'All Associates'!A315)+COUNTIF(Riviera_3!G:G,'All Associates'!A315)+COUNTIF(Riviera_4!G:G,'All Associates'!A315)+COUNTIF(Riviera_5!G:G,'All Associates'!A315)</f>
        <v/>
      </c>
      <c r="J315" s="112">
        <f>IF(I315=0,"Not Allocated",IF(I315=1,"Allocated","Duplicate"))</f>
        <v/>
      </c>
    </row>
    <row r="316" hidden="1">
      <c r="A316" s="83" t="n">
        <v>1233</v>
      </c>
      <c r="B316" s="80" t="inlineStr">
        <is>
          <t>GERALD GUERRERO</t>
        </is>
      </c>
      <c r="C316" s="80" t="inlineStr">
        <is>
          <t>Activ</t>
        </is>
      </c>
      <c r="D316" s="80" t="inlineStr">
        <is>
          <t>CHRISTOPHER HUFFMAN</t>
        </is>
      </c>
      <c r="E316" s="80" t="inlineStr">
        <is>
          <t>CHARLES POWELL</t>
        </is>
      </c>
      <c r="F316" s="80" t="inlineStr">
        <is>
          <t>KIMBERLY CLARK</t>
        </is>
      </c>
      <c r="G316" s="80" t="inlineStr">
        <is>
          <t>CHARLES POWELL</t>
        </is>
      </c>
      <c r="H316" s="80" t="inlineStr">
        <is>
          <t>138-3</t>
        </is>
      </c>
      <c r="I316" s="111">
        <f>COUNTIF(Tower_3!G:G,'All Associates'!A316)+COUNTIF(Tower_4!G:G,'All Associates'!A316)+COUNTIF(Tower_5!G:G,'All Associates'!A316)+COUNTIF(Tower_6!G:G,'All Associates'!A316)+COUNTIF(Riviera_3!G:G,'All Associates'!A316)+COUNTIF(Riviera_4!G:G,'All Associates'!A316)+COUNTIF(Riviera_5!G:G,'All Associates'!A316)</f>
        <v/>
      </c>
      <c r="J316" s="112">
        <f>IF(I316=0,"Not Allocated",IF(I316=1,"Allocated","Duplicate"))</f>
        <v/>
      </c>
    </row>
    <row r="317" hidden="1">
      <c r="A317" s="83" t="n">
        <v>1239</v>
      </c>
      <c r="B317" s="80" t="inlineStr">
        <is>
          <t>LISA GREEN</t>
        </is>
      </c>
      <c r="C317" s="80" t="inlineStr">
        <is>
          <t>Activ</t>
        </is>
      </c>
      <c r="D317" s="80" t="inlineStr">
        <is>
          <t>LYDIA JACKSON</t>
        </is>
      </c>
      <c r="E317" s="80" t="inlineStr">
        <is>
          <t>HEATHER SOLIS</t>
        </is>
      </c>
      <c r="F317" s="80" t="inlineStr">
        <is>
          <t>KIMBERLY CLARK</t>
        </is>
      </c>
      <c r="G317" s="80" t="inlineStr">
        <is>
          <t>HEATHER SOLIS</t>
        </is>
      </c>
      <c r="H317" s="80" t="inlineStr">
        <is>
          <t>138-1</t>
        </is>
      </c>
      <c r="I317" s="111">
        <f>COUNTIF(Tower_3!G:G,'All Associates'!A317)+COUNTIF(Tower_4!G:G,'All Associates'!A317)+COUNTIF(Tower_5!G:G,'All Associates'!A317)+COUNTIF(Tower_6!G:G,'All Associates'!A317)+COUNTIF(Riviera_3!G:G,'All Associates'!A317)+COUNTIF(Riviera_4!G:G,'All Associates'!A317)+COUNTIF(Riviera_5!G:G,'All Associates'!A317)</f>
        <v/>
      </c>
      <c r="J317" s="112">
        <f>IF(I317=0,"Not Allocated",IF(I317=1,"Allocated","Duplicate"))</f>
        <v/>
      </c>
    </row>
    <row r="318" hidden="1">
      <c r="A318" s="83" t="n">
        <v>1064</v>
      </c>
      <c r="B318" s="80" t="inlineStr">
        <is>
          <t>ERIN HOWARD</t>
        </is>
      </c>
      <c r="C318" s="80" t="inlineStr">
        <is>
          <t>Activ</t>
        </is>
      </c>
      <c r="D318" s="80" t="inlineStr">
        <is>
          <t>DENNIS AGUIRRE</t>
        </is>
      </c>
      <c r="E318" s="80" t="inlineStr">
        <is>
          <t>ADAM SMITH</t>
        </is>
      </c>
      <c r="F318" s="80" t="inlineStr">
        <is>
          <t>PHILLIP TRAVIS</t>
        </is>
      </c>
      <c r="G318" s="80" t="inlineStr">
        <is>
          <t>PHILLIP TRAVIS</t>
        </is>
      </c>
      <c r="H318" s="80" t="inlineStr">
        <is>
          <t>156-1</t>
        </is>
      </c>
      <c r="I318" s="111">
        <f>COUNTIF(Tower_3!G:G,'All Associates'!A318)+COUNTIF(Tower_4!G:G,'All Associates'!A318)+COUNTIF(Tower_5!G:G,'All Associates'!A318)+COUNTIF(Tower_6!G:G,'All Associates'!A318)+COUNTIF(Riviera_3!G:G,'All Associates'!A318)+COUNTIF(Riviera_4!G:G,'All Associates'!A318)+COUNTIF(Riviera_5!G:G,'All Associates'!A318)</f>
        <v/>
      </c>
      <c r="J318" s="112">
        <f>IF(I318=0,"Not Allocated",IF(I318=1,"Allocated","Duplicate"))</f>
        <v/>
      </c>
    </row>
    <row r="319" hidden="1">
      <c r="A319" s="83" t="n">
        <v>887</v>
      </c>
      <c r="B319" s="80" t="inlineStr">
        <is>
          <t>DEBORAH BARRETT</t>
        </is>
      </c>
      <c r="C319" s="80" t="inlineStr">
        <is>
          <t>Activ</t>
        </is>
      </c>
      <c r="D319" s="80" t="inlineStr">
        <is>
          <t>KATHERINE DELGADO</t>
        </is>
      </c>
      <c r="E319" s="80" t="inlineStr">
        <is>
          <t>LOUIS PETERSEN</t>
        </is>
      </c>
      <c r="F319" s="80" t="inlineStr">
        <is>
          <t>KENNETH CONRAD</t>
        </is>
      </c>
      <c r="G319" s="80" t="inlineStr">
        <is>
          <t>KENNETH CONRAD</t>
        </is>
      </c>
      <c r="H319" s="80" t="inlineStr">
        <is>
          <t>127-1</t>
        </is>
      </c>
      <c r="I319" s="111">
        <f>COUNTIF(Tower_3!G:G,'All Associates'!A319)+COUNTIF(Tower_4!G:G,'All Associates'!A319)+COUNTIF(Tower_5!G:G,'All Associates'!A319)+COUNTIF(Tower_6!G:G,'All Associates'!A319)+COUNTIF(Riviera_3!G:G,'All Associates'!A319)+COUNTIF(Riviera_4!G:G,'All Associates'!A319)+COUNTIF(Riviera_5!G:G,'All Associates'!A319)</f>
        <v/>
      </c>
      <c r="J319" s="112">
        <f>IF(I319=0,"Not Allocated",IF(I319=1,"Allocated","Duplicate"))</f>
        <v/>
      </c>
    </row>
    <row r="320" hidden="1">
      <c r="A320" s="83" t="n">
        <v>27</v>
      </c>
      <c r="B320" s="80" t="inlineStr">
        <is>
          <t>JENNIFER PETERSON</t>
        </is>
      </c>
      <c r="C320" s="80" t="inlineStr">
        <is>
          <t>Activ</t>
        </is>
      </c>
      <c r="D320" s="80" t="inlineStr">
        <is>
          <t>ALEXANDER MILLER</t>
        </is>
      </c>
      <c r="E320" s="80" t="inlineStr">
        <is>
          <t>KIMBERLY CLARK</t>
        </is>
      </c>
      <c r="F320" s="80" t="inlineStr">
        <is>
          <t>KIMBERLY CLARK</t>
        </is>
      </c>
      <c r="G320" s="80" t="inlineStr">
        <is>
          <t>ALEXANDER MILLER</t>
        </is>
      </c>
      <c r="H320" s="80" t="inlineStr">
        <is>
          <t>135-1</t>
        </is>
      </c>
      <c r="I320" s="111">
        <f>COUNTIF(Tower_3!G:G,'All Associates'!A320)+COUNTIF(Tower_4!G:G,'All Associates'!A320)+COUNTIF(Tower_5!G:G,'All Associates'!A320)+COUNTIF(Tower_6!G:G,'All Associates'!A320)+COUNTIF(Riviera_3!G:G,'All Associates'!A320)+COUNTIF(Riviera_4!G:G,'All Associates'!A320)+COUNTIF(Riviera_5!G:G,'All Associates'!A320)</f>
        <v/>
      </c>
      <c r="J320" s="112">
        <f>IF(I320=0,"Not Allocated",IF(I320=1,"Allocated","Duplicate"))</f>
        <v/>
      </c>
    </row>
    <row r="321" hidden="1">
      <c r="A321" s="83" t="n">
        <v>968</v>
      </c>
      <c r="B321" s="80" t="inlineStr">
        <is>
          <t>PAUL BRADLEY</t>
        </is>
      </c>
      <c r="C321" s="80" t="inlineStr">
        <is>
          <t>Activ</t>
        </is>
      </c>
      <c r="D321" s="80" t="inlineStr">
        <is>
          <t>CHRISTOPHER HUFFMAN</t>
        </is>
      </c>
      <c r="E321" s="80" t="inlineStr">
        <is>
          <t>CHARLES POWELL</t>
        </is>
      </c>
      <c r="F321" s="80" t="inlineStr">
        <is>
          <t>KIMBERLY CLARK</t>
        </is>
      </c>
      <c r="G321" s="80" t="inlineStr">
        <is>
          <t>CHARLES POWELL</t>
        </is>
      </c>
      <c r="H321" s="80" t="inlineStr">
        <is>
          <t>138-3</t>
        </is>
      </c>
      <c r="I321" s="111">
        <f>COUNTIF(Tower_3!G:G,'All Associates'!A321)+COUNTIF(Tower_4!G:G,'All Associates'!A321)+COUNTIF(Tower_5!G:G,'All Associates'!A321)+COUNTIF(Tower_6!G:G,'All Associates'!A321)+COUNTIF(Riviera_3!G:G,'All Associates'!A321)+COUNTIF(Riviera_4!G:G,'All Associates'!A321)+COUNTIF(Riviera_5!G:G,'All Associates'!A321)</f>
        <v/>
      </c>
      <c r="J321" s="112">
        <f>IF(I321=0,"Not Allocated",IF(I321=1,"Allocated","Duplicate"))</f>
        <v/>
      </c>
    </row>
    <row r="322" hidden="1">
      <c r="A322" s="83" t="n">
        <v>192</v>
      </c>
      <c r="B322" s="80" t="inlineStr">
        <is>
          <t>SUSAN CUEVAS</t>
        </is>
      </c>
      <c r="C322" s="80" t="inlineStr">
        <is>
          <t>Activ</t>
        </is>
      </c>
      <c r="D322" s="80" t="inlineStr">
        <is>
          <t>CHAD PEREZ</t>
        </is>
      </c>
      <c r="E322" s="80" t="inlineStr">
        <is>
          <t>MARISSA CROSS</t>
        </is>
      </c>
      <c r="F322" s="80" t="inlineStr">
        <is>
          <t>KIMBERLY CLARK</t>
        </is>
      </c>
      <c r="G322" s="80" t="inlineStr">
        <is>
          <t>MARISSA CROSS</t>
        </is>
      </c>
      <c r="H322" s="80" t="inlineStr">
        <is>
          <t>220-2</t>
        </is>
      </c>
      <c r="I322" s="111">
        <f>COUNTIF(Tower_3!G:G,'All Associates'!A322)+COUNTIF(Tower_4!G:G,'All Associates'!A322)+COUNTIF(Tower_5!G:G,'All Associates'!A322)+COUNTIF(Tower_6!G:G,'All Associates'!A322)+COUNTIF(Riviera_3!G:G,'All Associates'!A322)+COUNTIF(Riviera_4!G:G,'All Associates'!A322)+COUNTIF(Riviera_5!G:G,'All Associates'!A322)</f>
        <v/>
      </c>
      <c r="J322" s="112">
        <f>IF(I322=0,"Not Allocated",IF(I322=1,"Allocated","Duplicate"))</f>
        <v/>
      </c>
    </row>
    <row r="323" hidden="1">
      <c r="A323" s="83" t="n">
        <v>1188</v>
      </c>
      <c r="B323" s="80" t="inlineStr">
        <is>
          <t>ANDREW MILLER</t>
        </is>
      </c>
      <c r="C323" s="80" t="inlineStr">
        <is>
          <t>Activ</t>
        </is>
      </c>
      <c r="D323" s="80" t="inlineStr">
        <is>
          <t>HANNAH ALVAREZ</t>
        </is>
      </c>
      <c r="E323" s="80" t="inlineStr">
        <is>
          <t>KIMBERLY CLARK</t>
        </is>
      </c>
      <c r="F323" s="80" t="inlineStr">
        <is>
          <t>KIMBERLY CLARK</t>
        </is>
      </c>
      <c r="G323" s="80" t="inlineStr">
        <is>
          <t>KIMBERLY CLARK</t>
        </is>
      </c>
      <c r="H323" s="80" t="inlineStr">
        <is>
          <t>200-1</t>
        </is>
      </c>
      <c r="I323" s="111">
        <f>COUNTIF(Tower_3!G:G,'All Associates'!A323)+COUNTIF(Tower_4!G:G,'All Associates'!A323)+COUNTIF(Tower_5!G:G,'All Associates'!A323)+COUNTIF(Tower_6!G:G,'All Associates'!A323)+COUNTIF(Riviera_3!G:G,'All Associates'!A323)+COUNTIF(Riviera_4!G:G,'All Associates'!A323)+COUNTIF(Riviera_5!G:G,'All Associates'!A323)</f>
        <v/>
      </c>
      <c r="J323" s="112">
        <f>IF(I323=0,"Not Allocated",IF(I323=1,"Allocated","Duplicate"))</f>
        <v/>
      </c>
    </row>
    <row r="324" hidden="1">
      <c r="A324" s="83" t="n">
        <v>1228</v>
      </c>
      <c r="B324" s="80" t="inlineStr">
        <is>
          <t>JAMES EVANS</t>
        </is>
      </c>
      <c r="C324" s="80" t="inlineStr">
        <is>
          <t>Activ</t>
        </is>
      </c>
      <c r="D324" s="80" t="inlineStr">
        <is>
          <t>STEPHANIE HARVEY</t>
        </is>
      </c>
      <c r="E324" s="80" t="inlineStr">
        <is>
          <t>NATHAN HAMILTON</t>
        </is>
      </c>
      <c r="F324" s="80" t="inlineStr">
        <is>
          <t>KIMBERLY CLARK</t>
        </is>
      </c>
      <c r="G324" s="80" t="inlineStr">
        <is>
          <t>NATHAN HAMILTON</t>
        </is>
      </c>
      <c r="H324" s="80" t="inlineStr">
        <is>
          <t>221-1</t>
        </is>
      </c>
      <c r="I324" s="111">
        <f>COUNTIF(Tower_3!G:G,'All Associates'!A324)+COUNTIF(Tower_4!G:G,'All Associates'!A324)+COUNTIF(Tower_5!G:G,'All Associates'!A324)+COUNTIF(Tower_6!G:G,'All Associates'!A324)+COUNTIF(Riviera_3!G:G,'All Associates'!A324)+COUNTIF(Riviera_4!G:G,'All Associates'!A324)+COUNTIF(Riviera_5!G:G,'All Associates'!A324)</f>
        <v/>
      </c>
      <c r="J324" s="112">
        <f>IF(I324=0,"Not Allocated",IF(I324=1,"Allocated","Duplicate"))</f>
        <v/>
      </c>
    </row>
    <row r="325" hidden="1">
      <c r="A325" s="83" t="n">
        <v>1042</v>
      </c>
      <c r="B325" s="80" t="inlineStr">
        <is>
          <t>JENNIFER BRADY</t>
        </is>
      </c>
      <c r="C325" s="80" t="inlineStr">
        <is>
          <t>Activ</t>
        </is>
      </c>
      <c r="D325" s="80" t="inlineStr">
        <is>
          <t>LOUIS PETERSEN</t>
        </is>
      </c>
      <c r="E325" s="80" t="inlineStr">
        <is>
          <t>KENNETH CONRAD</t>
        </is>
      </c>
      <c r="F325" s="80" t="inlineStr">
        <is>
          <t>KIMBERLY CLARK</t>
        </is>
      </c>
      <c r="G325" s="80" t="inlineStr">
        <is>
          <t>KENNETH CONRAD</t>
        </is>
      </c>
      <c r="H325" s="80" t="inlineStr">
        <is>
          <t>127-1</t>
        </is>
      </c>
      <c r="I325" s="111">
        <f>COUNTIF(Tower_3!G:G,'All Associates'!A325)+COUNTIF(Tower_4!G:G,'All Associates'!A325)+COUNTIF(Tower_5!G:G,'All Associates'!A325)+COUNTIF(Tower_6!G:G,'All Associates'!A325)+COUNTIF(Riviera_3!G:G,'All Associates'!A325)+COUNTIF(Riviera_4!G:G,'All Associates'!A325)+COUNTIF(Riviera_5!G:G,'All Associates'!A325)</f>
        <v/>
      </c>
      <c r="J325" s="112">
        <f>IF(I325=0,"Not Allocated",IF(I325=1,"Allocated","Duplicate"))</f>
        <v/>
      </c>
    </row>
    <row r="326" hidden="1">
      <c r="A326" s="83" t="n">
        <v>1029</v>
      </c>
      <c r="B326" s="80" t="inlineStr">
        <is>
          <t>MELISSA JONES MD</t>
        </is>
      </c>
      <c r="C326" s="80" t="inlineStr">
        <is>
          <t>Activ</t>
        </is>
      </c>
      <c r="D326" s="80" t="inlineStr">
        <is>
          <t>MATTHEW BAKER</t>
        </is>
      </c>
      <c r="E326" s="80" t="inlineStr">
        <is>
          <t>MICHAEL ROSALES</t>
        </is>
      </c>
      <c r="F326" s="80" t="inlineStr">
        <is>
          <t>BETH TUCKER</t>
        </is>
      </c>
      <c r="G326" s="80" t="inlineStr">
        <is>
          <t>KIMBERLY CLARK</t>
        </is>
      </c>
      <c r="H326" s="80" t="inlineStr">
        <is>
          <t>156-2</t>
        </is>
      </c>
      <c r="I326" s="111">
        <f>COUNTIF(Tower_3!G:G,'All Associates'!A326)+COUNTIF(Tower_4!G:G,'All Associates'!A326)+COUNTIF(Tower_5!G:G,'All Associates'!A326)+COUNTIF(Tower_6!G:G,'All Associates'!A326)+COUNTIF(Riviera_3!G:G,'All Associates'!A326)+COUNTIF(Riviera_4!G:G,'All Associates'!A326)+COUNTIF(Riviera_5!G:G,'All Associates'!A326)</f>
        <v/>
      </c>
      <c r="J326" s="112">
        <f>IF(I326=0,"Not Allocated",IF(I326=1,"Allocated","Duplicate"))</f>
        <v/>
      </c>
    </row>
    <row r="327" hidden="1">
      <c r="A327" s="83" t="n">
        <v>1112</v>
      </c>
      <c r="B327" s="80" t="inlineStr">
        <is>
          <t>RODNEY WILLIAMS</t>
        </is>
      </c>
      <c r="C327" s="80" t="inlineStr">
        <is>
          <t>Activ</t>
        </is>
      </c>
      <c r="D327" s="80" t="inlineStr">
        <is>
          <t>KIMBERLY CLARK</t>
        </is>
      </c>
      <c r="E327" s="80" t="inlineStr">
        <is>
          <t>KIMBERLY CLARK</t>
        </is>
      </c>
      <c r="F327" s="80" t="inlineStr">
        <is>
          <t>KIMBERLY CLARK</t>
        </is>
      </c>
      <c r="G327" s="80" t="inlineStr">
        <is>
          <t>NATHAN HAMILTON</t>
        </is>
      </c>
      <c r="H327" s="80" t="inlineStr">
        <is>
          <t>221-1</t>
        </is>
      </c>
      <c r="I327" s="111">
        <f>COUNTIF(Tower_3!G:G,'All Associates'!A327)+COUNTIF(Tower_4!G:G,'All Associates'!A327)+COUNTIF(Tower_5!G:G,'All Associates'!A327)+COUNTIF(Tower_6!G:G,'All Associates'!A327)+COUNTIF(Riviera_3!G:G,'All Associates'!A327)+COUNTIF(Riviera_4!G:G,'All Associates'!A327)+COUNTIF(Riviera_5!G:G,'All Associates'!A327)</f>
        <v/>
      </c>
      <c r="J327" s="112">
        <f>IF(I327=0,"Not Allocated",IF(I327=1,"Allocated","Duplicate"))</f>
        <v/>
      </c>
    </row>
    <row r="328" hidden="1">
      <c r="A328" s="83" t="n">
        <v>601</v>
      </c>
      <c r="B328" s="80" t="inlineStr">
        <is>
          <t>DEBRA TAYLOR</t>
        </is>
      </c>
      <c r="C328" s="80" t="inlineStr">
        <is>
          <t>Activ</t>
        </is>
      </c>
      <c r="D328" s="80" t="inlineStr">
        <is>
          <t>PETER ROBINSON</t>
        </is>
      </c>
      <c r="E328" s="80" t="inlineStr">
        <is>
          <t>MR. MICHAEL KELLY</t>
        </is>
      </c>
      <c r="F328" s="80" t="inlineStr">
        <is>
          <t>HEATHER SOLIS</t>
        </is>
      </c>
      <c r="G328" s="80" t="inlineStr">
        <is>
          <t>HEATHER SOLIS</t>
        </is>
      </c>
      <c r="H328" s="80" t="inlineStr">
        <is>
          <t>138-2</t>
        </is>
      </c>
      <c r="I328" s="111">
        <f>COUNTIF(Tower_3!G:G,'All Associates'!A328)+COUNTIF(Tower_4!G:G,'All Associates'!A328)+COUNTIF(Tower_5!G:G,'All Associates'!A328)+COUNTIF(Tower_6!G:G,'All Associates'!A328)+COUNTIF(Riviera_3!G:G,'All Associates'!A328)+COUNTIF(Riviera_4!G:G,'All Associates'!A328)+COUNTIF(Riviera_5!G:G,'All Associates'!A328)</f>
        <v/>
      </c>
      <c r="J328" s="112">
        <f>IF(I328=0,"Not Allocated",IF(I328=1,"Allocated","Duplicate"))</f>
        <v/>
      </c>
    </row>
    <row r="329" hidden="1">
      <c r="A329" s="83" t="n">
        <v>1234</v>
      </c>
      <c r="B329" s="80" t="inlineStr">
        <is>
          <t>MELINDA JENKINS</t>
        </is>
      </c>
      <c r="C329" s="80" t="inlineStr">
        <is>
          <t>Activ</t>
        </is>
      </c>
      <c r="D329" s="80" t="inlineStr">
        <is>
          <t>KAYLA HICKS</t>
        </is>
      </c>
      <c r="E329" s="80" t="inlineStr">
        <is>
          <t>ALEXANDER MILLER</t>
        </is>
      </c>
      <c r="F329" s="80" t="inlineStr">
        <is>
          <t>KIMBERLY CLARK</t>
        </is>
      </c>
      <c r="G329" s="80" t="inlineStr">
        <is>
          <t>ALEXANDER MILLER</t>
        </is>
      </c>
      <c r="H329" s="80" t="inlineStr">
        <is>
          <t>135-1</t>
        </is>
      </c>
      <c r="I329" s="111">
        <f>COUNTIF(Tower_3!G:G,'All Associates'!A329)+COUNTIF(Tower_4!G:G,'All Associates'!A329)+COUNTIF(Tower_5!G:G,'All Associates'!A329)+COUNTIF(Tower_6!G:G,'All Associates'!A329)+COUNTIF(Riviera_3!G:G,'All Associates'!A329)+COUNTIF(Riviera_4!G:G,'All Associates'!A329)+COUNTIF(Riviera_5!G:G,'All Associates'!A329)</f>
        <v/>
      </c>
      <c r="J329" s="112">
        <f>IF(I329=0,"Not Allocated",IF(I329=1,"Allocated","Duplicate"))</f>
        <v/>
      </c>
    </row>
    <row r="330" hidden="1">
      <c r="A330" s="83" t="n">
        <v>733</v>
      </c>
      <c r="B330" s="80" t="inlineStr">
        <is>
          <t>CYNTHIA GORDON</t>
        </is>
      </c>
      <c r="C330" s="80" t="inlineStr">
        <is>
          <t>Activ</t>
        </is>
      </c>
      <c r="D330" s="80" t="inlineStr">
        <is>
          <t>JEFFERY MOYER</t>
        </is>
      </c>
      <c r="E330" s="80" t="inlineStr">
        <is>
          <t>KENNETH CONRAD</t>
        </is>
      </c>
      <c r="F330" s="80" t="inlineStr">
        <is>
          <t>KIMBERLY CLARK</t>
        </is>
      </c>
      <c r="G330" s="80" t="inlineStr">
        <is>
          <t>KENNETH CONRAD</t>
        </is>
      </c>
      <c r="H330" s="80" t="inlineStr">
        <is>
          <t>133-1</t>
        </is>
      </c>
      <c r="I330" s="111">
        <f>COUNTIF(Tower_3!G:G,'All Associates'!A330)+COUNTIF(Tower_4!G:G,'All Associates'!A330)+COUNTIF(Tower_5!G:G,'All Associates'!A330)+COUNTIF(Tower_6!G:G,'All Associates'!A330)+COUNTIF(Riviera_3!G:G,'All Associates'!A330)+COUNTIF(Riviera_4!G:G,'All Associates'!A330)+COUNTIF(Riviera_5!G:G,'All Associates'!A330)</f>
        <v/>
      </c>
      <c r="J330" s="112">
        <f>IF(I330=0,"Not Allocated",IF(I330=1,"Allocated","Duplicate"))</f>
        <v/>
      </c>
    </row>
    <row r="331" hidden="1">
      <c r="A331" s="83" t="n">
        <v>922</v>
      </c>
      <c r="B331" s="80" t="inlineStr">
        <is>
          <t>TONY DUNCAN</t>
        </is>
      </c>
      <c r="C331" s="80" t="inlineStr">
        <is>
          <t>Activ</t>
        </is>
      </c>
      <c r="D331" s="80" t="inlineStr">
        <is>
          <t>NATHAN MURRAY</t>
        </is>
      </c>
      <c r="E331" s="80" t="inlineStr">
        <is>
          <t>CHARLES POWELL</t>
        </is>
      </c>
      <c r="F331" s="80" t="inlineStr">
        <is>
          <t>KIMBERLY CLARK</t>
        </is>
      </c>
      <c r="G331" s="80" t="inlineStr">
        <is>
          <t>CHARLES POWELL</t>
        </is>
      </c>
      <c r="H331" s="80" t="inlineStr">
        <is>
          <t>138-3</t>
        </is>
      </c>
      <c r="I331" s="111">
        <f>COUNTIF(Tower_3!G:G,'All Associates'!A331)+COUNTIF(Tower_4!G:G,'All Associates'!A331)+COUNTIF(Tower_5!G:G,'All Associates'!A331)+COUNTIF(Tower_6!G:G,'All Associates'!A331)+COUNTIF(Riviera_3!G:G,'All Associates'!A331)+COUNTIF(Riviera_4!G:G,'All Associates'!A331)+COUNTIF(Riviera_5!G:G,'All Associates'!A331)</f>
        <v/>
      </c>
      <c r="J331" s="112">
        <f>IF(I331=0,"Not Allocated",IF(I331=1,"Allocated","Duplicate"))</f>
        <v/>
      </c>
    </row>
    <row r="332" hidden="1">
      <c r="A332" s="83" t="n">
        <v>614</v>
      </c>
      <c r="B332" s="80" t="inlineStr">
        <is>
          <t>RACHEL MOORE</t>
        </is>
      </c>
      <c r="C332" s="80" t="inlineStr">
        <is>
          <t>Activ</t>
        </is>
      </c>
      <c r="D332" s="80" t="inlineStr">
        <is>
          <t>ALEXANDER MILLER</t>
        </is>
      </c>
      <c r="E332" s="80" t="inlineStr">
        <is>
          <t>KIMBERLY CLARK</t>
        </is>
      </c>
      <c r="F332" s="80" t="inlineStr">
        <is>
          <t>KIMBERLY CLARK</t>
        </is>
      </c>
      <c r="G332" s="80" t="inlineStr">
        <is>
          <t>ALEXANDER MILLER</t>
        </is>
      </c>
      <c r="H332" s="80" t="inlineStr">
        <is>
          <t>135-1</t>
        </is>
      </c>
      <c r="I332" s="111">
        <f>COUNTIF(Tower_3!G:G,'All Associates'!A332)+COUNTIF(Tower_4!G:G,'All Associates'!A332)+COUNTIF(Tower_5!G:G,'All Associates'!A332)+COUNTIF(Tower_6!G:G,'All Associates'!A332)+COUNTIF(Riviera_3!G:G,'All Associates'!A332)+COUNTIF(Riviera_4!G:G,'All Associates'!A332)+COUNTIF(Riviera_5!G:G,'All Associates'!A332)</f>
        <v/>
      </c>
      <c r="J332" s="112">
        <f>IF(I332=0,"Not Allocated",IF(I332=1,"Allocated","Duplicate"))</f>
        <v/>
      </c>
    </row>
    <row r="333" hidden="1">
      <c r="A333" s="83" t="n">
        <v>180</v>
      </c>
      <c r="B333" s="80" t="inlineStr">
        <is>
          <t>MICHELLE BROWN</t>
        </is>
      </c>
      <c r="C333" s="80" t="inlineStr">
        <is>
          <t>Activ</t>
        </is>
      </c>
      <c r="D333" s="80" t="inlineStr">
        <is>
          <t>KAYLA HICKS</t>
        </is>
      </c>
      <c r="E333" s="80" t="inlineStr">
        <is>
          <t>ALEXANDER MILLER</t>
        </is>
      </c>
      <c r="F333" s="80" t="inlineStr">
        <is>
          <t>KIMBERLY CLARK</t>
        </is>
      </c>
      <c r="G333" s="80" t="inlineStr">
        <is>
          <t>ALEXANDER MILLER</t>
        </is>
      </c>
      <c r="H333" s="80" t="inlineStr">
        <is>
          <t>135-1</t>
        </is>
      </c>
      <c r="I333" s="111">
        <f>COUNTIF(Tower_3!G:G,'All Associates'!A333)+COUNTIF(Tower_4!G:G,'All Associates'!A333)+COUNTIF(Tower_5!G:G,'All Associates'!A333)+COUNTIF(Tower_6!G:G,'All Associates'!A333)+COUNTIF(Riviera_3!G:G,'All Associates'!A333)+COUNTIF(Riviera_4!G:G,'All Associates'!A333)+COUNTIF(Riviera_5!G:G,'All Associates'!A333)</f>
        <v/>
      </c>
      <c r="J333" s="112">
        <f>IF(I333=0,"Not Allocated",IF(I333=1,"Allocated","Duplicate"))</f>
        <v/>
      </c>
    </row>
    <row r="334" hidden="1">
      <c r="A334" s="83" t="n">
        <v>81</v>
      </c>
      <c r="B334" s="80" t="inlineStr">
        <is>
          <t>ERIC HILL</t>
        </is>
      </c>
      <c r="C334" s="80" t="inlineStr">
        <is>
          <t>Activ</t>
        </is>
      </c>
      <c r="D334" s="80" t="inlineStr">
        <is>
          <t>ALLISON JACKSON</t>
        </is>
      </c>
      <c r="E334" s="80" t="inlineStr">
        <is>
          <t>ALEXANDER MILLER</t>
        </is>
      </c>
      <c r="F334" s="80" t="inlineStr">
        <is>
          <t>KIMBERLY CLARK</t>
        </is>
      </c>
      <c r="G334" s="80" t="inlineStr">
        <is>
          <t>ALEXANDER MILLER</t>
        </is>
      </c>
      <c r="H334" s="80" t="inlineStr">
        <is>
          <t>135-1</t>
        </is>
      </c>
      <c r="I334" s="111">
        <f>COUNTIF(Tower_3!G:G,'All Associates'!A334)+COUNTIF(Tower_4!G:G,'All Associates'!A334)+COUNTIF(Tower_5!G:G,'All Associates'!A334)+COUNTIF(Tower_6!G:G,'All Associates'!A334)+COUNTIF(Riviera_3!G:G,'All Associates'!A334)+COUNTIF(Riviera_4!G:G,'All Associates'!A334)+COUNTIF(Riviera_5!G:G,'All Associates'!A334)</f>
        <v/>
      </c>
      <c r="J334" s="112">
        <f>IF(I334=0,"Not Allocated",IF(I334=1,"Allocated","Duplicate"))</f>
        <v/>
      </c>
    </row>
    <row r="335" hidden="1">
      <c r="A335" s="83" t="n">
        <v>363</v>
      </c>
      <c r="B335" s="80" t="inlineStr">
        <is>
          <t>MAURICE NEWMAN</t>
        </is>
      </c>
      <c r="C335" s="80" t="inlineStr">
        <is>
          <t>Activ</t>
        </is>
      </c>
      <c r="D335" s="80" t="inlineStr">
        <is>
          <t>STEPHANIE PERKINS</t>
        </is>
      </c>
      <c r="E335" s="80" t="inlineStr">
        <is>
          <t>MR. MICHAEL KELLY</t>
        </is>
      </c>
      <c r="F335" s="80" t="inlineStr">
        <is>
          <t>HEATHER SOLIS</t>
        </is>
      </c>
      <c r="G335" s="80" t="inlineStr">
        <is>
          <t>HEATHER SOLIS</t>
        </is>
      </c>
      <c r="H335" s="80" t="inlineStr">
        <is>
          <t>138-2</t>
        </is>
      </c>
      <c r="I335" s="111">
        <f>COUNTIF(Tower_3!G:G,'All Associates'!A335)+COUNTIF(Tower_4!G:G,'All Associates'!A335)+COUNTIF(Tower_5!G:G,'All Associates'!A335)+COUNTIF(Tower_6!G:G,'All Associates'!A335)+COUNTIF(Riviera_3!G:G,'All Associates'!A335)+COUNTIF(Riviera_4!G:G,'All Associates'!A335)+COUNTIF(Riviera_5!G:G,'All Associates'!A335)</f>
        <v/>
      </c>
      <c r="J335" s="112">
        <f>IF(I335=0,"Not Allocated",IF(I335=1,"Allocated","Duplicate"))</f>
        <v/>
      </c>
    </row>
    <row r="336" hidden="1">
      <c r="A336" s="83" t="n">
        <v>940</v>
      </c>
      <c r="B336" s="80" t="inlineStr">
        <is>
          <t>ADRIAN BURNS</t>
        </is>
      </c>
      <c r="C336" s="80" t="inlineStr">
        <is>
          <t>Activ</t>
        </is>
      </c>
      <c r="D336" s="80" t="inlineStr">
        <is>
          <t>SUSAN RAY</t>
        </is>
      </c>
      <c r="E336" s="80" t="inlineStr">
        <is>
          <t>ALEXANDER MILLER</t>
        </is>
      </c>
      <c r="F336" s="80" t="inlineStr">
        <is>
          <t>KIMBERLY CLARK</t>
        </is>
      </c>
      <c r="G336" s="80" t="inlineStr">
        <is>
          <t>ALEXANDER MILLER</t>
        </is>
      </c>
      <c r="H336" s="80" t="inlineStr">
        <is>
          <t>196-1</t>
        </is>
      </c>
      <c r="I336" s="111">
        <f>COUNTIF(Tower_3!G:G,'All Associates'!A336)+COUNTIF(Tower_4!G:G,'All Associates'!A336)+COUNTIF(Tower_5!G:G,'All Associates'!A336)+COUNTIF(Tower_6!G:G,'All Associates'!A336)+COUNTIF(Riviera_3!G:G,'All Associates'!A336)+COUNTIF(Riviera_4!G:G,'All Associates'!A336)+COUNTIF(Riviera_5!G:G,'All Associates'!A336)</f>
        <v/>
      </c>
      <c r="J336" s="112">
        <f>IF(I336=0,"Not Allocated",IF(I336=1,"Allocated","Duplicate"))</f>
        <v/>
      </c>
    </row>
    <row r="337" hidden="1">
      <c r="A337" s="83" t="n">
        <v>974</v>
      </c>
      <c r="B337" s="80" t="inlineStr">
        <is>
          <t>HEATHER EDWARDS</t>
        </is>
      </c>
      <c r="C337" s="80" t="inlineStr">
        <is>
          <t>Activ</t>
        </is>
      </c>
      <c r="D337" s="80" t="inlineStr">
        <is>
          <t>JENNY HOWARD</t>
        </is>
      </c>
      <c r="E337" s="80" t="inlineStr">
        <is>
          <t>CHARLES POWELL</t>
        </is>
      </c>
      <c r="F337" s="80" t="inlineStr">
        <is>
          <t>KIMBERLY CLARK</t>
        </is>
      </c>
      <c r="G337" s="80" t="inlineStr">
        <is>
          <t>CHARLES POWELL</t>
        </is>
      </c>
      <c r="H337" s="80" t="inlineStr">
        <is>
          <t>138-3</t>
        </is>
      </c>
      <c r="I337" s="111">
        <f>COUNTIF(Tower_3!G:G,'All Associates'!A337)+COUNTIF(Tower_4!G:G,'All Associates'!A337)+COUNTIF(Tower_5!G:G,'All Associates'!A337)+COUNTIF(Tower_6!G:G,'All Associates'!A337)+COUNTIF(Riviera_3!G:G,'All Associates'!A337)+COUNTIF(Riviera_4!G:G,'All Associates'!A337)+COUNTIF(Riviera_5!G:G,'All Associates'!A337)</f>
        <v/>
      </c>
      <c r="J337" s="112">
        <f>IF(I337=0,"Not Allocated",IF(I337=1,"Allocated","Duplicate"))</f>
        <v/>
      </c>
    </row>
    <row r="338" hidden="1">
      <c r="A338" s="83" t="n">
        <v>1068</v>
      </c>
      <c r="B338" s="80" t="inlineStr">
        <is>
          <t>JENNIFER LUNA</t>
        </is>
      </c>
      <c r="C338" s="80" t="inlineStr">
        <is>
          <t>Activ</t>
        </is>
      </c>
      <c r="D338" s="80" t="inlineStr">
        <is>
          <t>DIANE PETERSEN</t>
        </is>
      </c>
      <c r="E338" s="80" t="inlineStr">
        <is>
          <t>DR. DIANA CARROLL</t>
        </is>
      </c>
      <c r="F338" s="80" t="inlineStr">
        <is>
          <t>HEATHER SOLIS</t>
        </is>
      </c>
      <c r="G338" s="80" t="inlineStr">
        <is>
          <t>HEATHER SOLIS</t>
        </is>
      </c>
      <c r="H338" s="80" t="inlineStr">
        <is>
          <t>138-1</t>
        </is>
      </c>
      <c r="I338" s="111">
        <f>COUNTIF(Tower_3!G:G,'All Associates'!A338)+COUNTIF(Tower_4!G:G,'All Associates'!A338)+COUNTIF(Tower_5!G:G,'All Associates'!A338)+COUNTIF(Tower_6!G:G,'All Associates'!A338)+COUNTIF(Riviera_3!G:G,'All Associates'!A338)+COUNTIF(Riviera_4!G:G,'All Associates'!A338)+COUNTIF(Riviera_5!G:G,'All Associates'!A338)</f>
        <v/>
      </c>
      <c r="J338" s="112">
        <f>IF(I338=0,"Not Allocated",IF(I338=1,"Allocated","Duplicate"))</f>
        <v/>
      </c>
    </row>
    <row r="339" hidden="1">
      <c r="A339" s="83" t="n">
        <v>441</v>
      </c>
      <c r="B339" s="80" t="inlineStr">
        <is>
          <t>MOLLY SHAW</t>
        </is>
      </c>
      <c r="C339" s="80" t="inlineStr">
        <is>
          <t>Activ</t>
        </is>
      </c>
      <c r="D339" s="80" t="inlineStr">
        <is>
          <t>DANIEL TAYLOR</t>
        </is>
      </c>
      <c r="E339" s="80" t="inlineStr">
        <is>
          <t>REBECCA VAUGHN</t>
        </is>
      </c>
      <c r="F339" s="80" t="inlineStr">
        <is>
          <t>MR. MICHAEL KELLY</t>
        </is>
      </c>
      <c r="G339" s="80" t="inlineStr">
        <is>
          <t>HEATHER SOLIS</t>
        </is>
      </c>
      <c r="H339" s="80" t="inlineStr">
        <is>
          <t>138-2</t>
        </is>
      </c>
      <c r="I339" s="111">
        <f>COUNTIF(Tower_3!G:G,'All Associates'!A339)+COUNTIF(Tower_4!G:G,'All Associates'!A339)+COUNTIF(Tower_5!G:G,'All Associates'!A339)+COUNTIF(Tower_6!G:G,'All Associates'!A339)+COUNTIF(Riviera_3!G:G,'All Associates'!A339)+COUNTIF(Riviera_4!G:G,'All Associates'!A339)+COUNTIF(Riviera_5!G:G,'All Associates'!A339)</f>
        <v/>
      </c>
      <c r="J339" s="112">
        <f>IF(I339=0,"Not Allocated",IF(I339=1,"Allocated","Duplicate"))</f>
        <v/>
      </c>
    </row>
    <row r="340" hidden="1">
      <c r="A340" s="83" t="n">
        <v>743</v>
      </c>
      <c r="B340" s="80" t="inlineStr">
        <is>
          <t>BRITTANY HARRIS</t>
        </is>
      </c>
      <c r="C340" s="80" t="inlineStr">
        <is>
          <t>Activ</t>
        </is>
      </c>
      <c r="D340" s="80" t="inlineStr">
        <is>
          <t>JORDAN MARQUEZ</t>
        </is>
      </c>
      <c r="E340" s="80" t="inlineStr">
        <is>
          <t>JEFFREY JONES</t>
        </is>
      </c>
      <c r="F340" s="80" t="inlineStr">
        <is>
          <t>NATHAN HAMILTON</t>
        </is>
      </c>
      <c r="G340" s="80" t="inlineStr">
        <is>
          <t>NATHAN HAMILTON</t>
        </is>
      </c>
      <c r="H340" s="80" t="inlineStr">
        <is>
          <t>221-1</t>
        </is>
      </c>
      <c r="I340" s="111">
        <f>COUNTIF(Tower_3!G:G,'All Associates'!A340)+COUNTIF(Tower_4!G:G,'All Associates'!A340)+COUNTIF(Tower_5!G:G,'All Associates'!A340)+COUNTIF(Tower_6!G:G,'All Associates'!A340)+COUNTIF(Riviera_3!G:G,'All Associates'!A340)+COUNTIF(Riviera_4!G:G,'All Associates'!A340)+COUNTIF(Riviera_5!G:G,'All Associates'!A340)</f>
        <v/>
      </c>
      <c r="J340" s="112">
        <f>IF(I340=0,"Not Allocated",IF(I340=1,"Allocated","Duplicate"))</f>
        <v/>
      </c>
    </row>
    <row r="341">
      <c r="A341" s="90" t="n">
        <v>565</v>
      </c>
      <c r="B341" s="91" t="inlineStr">
        <is>
          <t>KIM FULLER</t>
        </is>
      </c>
      <c r="C341" s="91" t="inlineStr">
        <is>
          <t>Activ</t>
        </is>
      </c>
      <c r="D341" s="91" t="inlineStr">
        <is>
          <t>DAVID HARTMAN</t>
        </is>
      </c>
      <c r="E341" s="91" t="inlineStr">
        <is>
          <t>STEPHANIE WEAVER</t>
        </is>
      </c>
      <c r="F341" s="91" t="inlineStr">
        <is>
          <t>MARISSA CROSS</t>
        </is>
      </c>
      <c r="G341" s="91" t="inlineStr">
        <is>
          <t>MARISSA CROSS</t>
        </is>
      </c>
      <c r="H341" s="91" t="inlineStr">
        <is>
          <t>220-2</t>
        </is>
      </c>
      <c r="I341" s="111">
        <f>COUNTIF(Tower_3!G:G,'All Associates'!A341)+COUNTIF(Tower_4!G:G,'All Associates'!A341)+COUNTIF(Tower_5!G:G,'All Associates'!A341)+COUNTIF(Tower_6!G:G,'All Associates'!A341)+COUNTIF(Riviera_3!G:G,'All Associates'!A341)+COUNTIF(Riviera_4!G:G,'All Associates'!A341)+COUNTIF(Riviera_5!G:G,'All Associates'!A341)</f>
        <v/>
      </c>
      <c r="J341" s="112">
        <f>IF(I341=0,"Not Allocated",IF(I341=1,"Allocated","Duplicate"))</f>
        <v/>
      </c>
    </row>
    <row r="342" hidden="1">
      <c r="A342" s="83" t="n">
        <v>524</v>
      </c>
      <c r="B342" s="80" t="inlineStr">
        <is>
          <t>JACOB CARTER PHD</t>
        </is>
      </c>
      <c r="C342" s="80" t="inlineStr">
        <is>
          <t>Activ</t>
        </is>
      </c>
      <c r="D342" s="80" t="inlineStr">
        <is>
          <t>LYDIA JACKSON</t>
        </is>
      </c>
      <c r="E342" s="80" t="inlineStr">
        <is>
          <t>HEATHER SOLIS</t>
        </is>
      </c>
      <c r="F342" s="80" t="inlineStr">
        <is>
          <t>KIMBERLY CLARK</t>
        </is>
      </c>
      <c r="G342" s="80" t="inlineStr">
        <is>
          <t>HEATHER SOLIS</t>
        </is>
      </c>
      <c r="H342" s="80" t="inlineStr">
        <is>
          <t>138-1</t>
        </is>
      </c>
      <c r="I342" s="111">
        <f>COUNTIF(Tower_3!G:G,'All Associates'!A342)+COUNTIF(Tower_4!G:G,'All Associates'!A342)+COUNTIF(Tower_5!G:G,'All Associates'!A342)+COUNTIF(Tower_6!G:G,'All Associates'!A342)+COUNTIF(Riviera_3!G:G,'All Associates'!A342)+COUNTIF(Riviera_4!G:G,'All Associates'!A342)+COUNTIF(Riviera_5!G:G,'All Associates'!A342)</f>
        <v/>
      </c>
      <c r="J342" s="112">
        <f>IF(I342=0,"Not Allocated",IF(I342=1,"Allocated","Duplicate"))</f>
        <v/>
      </c>
    </row>
    <row r="343" hidden="1">
      <c r="A343" s="83" t="n">
        <v>1176</v>
      </c>
      <c r="B343" s="80" t="inlineStr">
        <is>
          <t>BELINDA KIM</t>
        </is>
      </c>
      <c r="C343" s="80" t="inlineStr">
        <is>
          <t>Activ</t>
        </is>
      </c>
      <c r="D343" s="80" t="inlineStr">
        <is>
          <t>NATHAN MURRAY</t>
        </is>
      </c>
      <c r="E343" s="80" t="inlineStr">
        <is>
          <t>CHARLES POWELL</t>
        </is>
      </c>
      <c r="F343" s="80" t="inlineStr">
        <is>
          <t>KIMBERLY CLARK</t>
        </is>
      </c>
      <c r="G343" s="80" t="inlineStr">
        <is>
          <t>CHARLES POWELL</t>
        </is>
      </c>
      <c r="H343" s="80" t="inlineStr">
        <is>
          <t>138-3</t>
        </is>
      </c>
      <c r="I343" s="111">
        <f>COUNTIF(Tower_3!G:G,'All Associates'!A343)+COUNTIF(Tower_4!G:G,'All Associates'!A343)+COUNTIF(Tower_5!G:G,'All Associates'!A343)+COUNTIF(Tower_6!G:G,'All Associates'!A343)+COUNTIF(Riviera_3!G:G,'All Associates'!A343)+COUNTIF(Riviera_4!G:G,'All Associates'!A343)+COUNTIF(Riviera_5!G:G,'All Associates'!A343)</f>
        <v/>
      </c>
      <c r="J343" s="112">
        <f>IF(I343=0,"Not Allocated",IF(I343=1,"Allocated","Duplicate"))</f>
        <v/>
      </c>
    </row>
    <row r="344" hidden="1">
      <c r="A344" s="83" t="n">
        <v>909</v>
      </c>
      <c r="B344" s="80" t="inlineStr">
        <is>
          <t>BRANDON CORDOVA MD</t>
        </is>
      </c>
      <c r="C344" s="80" t="inlineStr">
        <is>
          <t>Activ</t>
        </is>
      </c>
      <c r="D344" s="80" t="inlineStr">
        <is>
          <t>ADRIAN WILLIAMS</t>
        </is>
      </c>
      <c r="E344" s="80" t="inlineStr">
        <is>
          <t>STEPHANIE HARVEY</t>
        </is>
      </c>
      <c r="F344" s="80" t="inlineStr">
        <is>
          <t>NATHAN HAMILTON</t>
        </is>
      </c>
      <c r="G344" s="80" t="inlineStr">
        <is>
          <t>NATHAN HAMILTON</t>
        </is>
      </c>
      <c r="H344" s="80" t="inlineStr">
        <is>
          <t>221-1</t>
        </is>
      </c>
      <c r="I344" s="111">
        <f>COUNTIF(Tower_3!G:G,'All Associates'!A344)+COUNTIF(Tower_4!G:G,'All Associates'!A344)+COUNTIF(Tower_5!G:G,'All Associates'!A344)+COUNTIF(Tower_6!G:G,'All Associates'!A344)+COUNTIF(Riviera_3!G:G,'All Associates'!A344)+COUNTIF(Riviera_4!G:G,'All Associates'!A344)+COUNTIF(Riviera_5!G:G,'All Associates'!A344)</f>
        <v/>
      </c>
      <c r="J344" s="112">
        <f>IF(I344=0,"Not Allocated",IF(I344=1,"Allocated","Duplicate"))</f>
        <v/>
      </c>
    </row>
    <row r="345" hidden="1">
      <c r="A345" s="83" t="n">
        <v>864</v>
      </c>
      <c r="B345" s="80" t="inlineStr">
        <is>
          <t>SARAH PHILLIPS</t>
        </is>
      </c>
      <c r="C345" s="80" t="inlineStr">
        <is>
          <t>Activ</t>
        </is>
      </c>
      <c r="D345" s="80" t="inlineStr">
        <is>
          <t>RONALD LEWIS</t>
        </is>
      </c>
      <c r="E345" s="80" t="inlineStr">
        <is>
          <t>ADAM SMITH</t>
        </is>
      </c>
      <c r="F345" s="80" t="inlineStr">
        <is>
          <t>PHILLIP TRAVIS</t>
        </is>
      </c>
      <c r="G345" s="80" t="inlineStr">
        <is>
          <t>PHILLIP TRAVIS</t>
        </is>
      </c>
      <c r="H345" s="80" t="inlineStr">
        <is>
          <t>156-1</t>
        </is>
      </c>
      <c r="I345" s="111">
        <f>COUNTIF(Tower_3!G:G,'All Associates'!A345)+COUNTIF(Tower_4!G:G,'All Associates'!A345)+COUNTIF(Tower_5!G:G,'All Associates'!A345)+COUNTIF(Tower_6!G:G,'All Associates'!A345)+COUNTIF(Riviera_3!G:G,'All Associates'!A345)+COUNTIF(Riviera_4!G:G,'All Associates'!A345)+COUNTIF(Riviera_5!G:G,'All Associates'!A345)</f>
        <v/>
      </c>
      <c r="J345" s="112">
        <f>IF(I345=0,"Not Allocated",IF(I345=1,"Allocated","Duplicate"))</f>
        <v/>
      </c>
    </row>
    <row r="346" hidden="1">
      <c r="A346" s="83" t="n">
        <v>861</v>
      </c>
      <c r="B346" s="80" t="inlineStr">
        <is>
          <t>TIFFANY GUTIERREZ</t>
        </is>
      </c>
      <c r="C346" s="80" t="inlineStr">
        <is>
          <t>Activ</t>
        </is>
      </c>
      <c r="D346" s="80" t="inlineStr">
        <is>
          <t>KAYLA HICKS</t>
        </is>
      </c>
      <c r="E346" s="80" t="inlineStr">
        <is>
          <t>ALEXANDER MILLER</t>
        </is>
      </c>
      <c r="F346" s="80" t="inlineStr">
        <is>
          <t>KIMBERLY CLARK</t>
        </is>
      </c>
      <c r="G346" s="80" t="inlineStr">
        <is>
          <t>ALEXANDER MILLER</t>
        </is>
      </c>
      <c r="H346" s="80" t="inlineStr">
        <is>
          <t>135-1</t>
        </is>
      </c>
      <c r="I346" s="111">
        <f>COUNTIF(Tower_3!G:G,'All Associates'!A346)+COUNTIF(Tower_4!G:G,'All Associates'!A346)+COUNTIF(Tower_5!G:G,'All Associates'!A346)+COUNTIF(Tower_6!G:G,'All Associates'!A346)+COUNTIF(Riviera_3!G:G,'All Associates'!A346)+COUNTIF(Riviera_4!G:G,'All Associates'!A346)+COUNTIF(Riviera_5!G:G,'All Associates'!A346)</f>
        <v/>
      </c>
      <c r="J346" s="112">
        <f>IF(I346=0,"Not Allocated",IF(I346=1,"Allocated","Duplicate"))</f>
        <v/>
      </c>
    </row>
    <row r="347" hidden="1">
      <c r="A347" s="83" t="n">
        <v>881</v>
      </c>
      <c r="B347" s="80" t="inlineStr">
        <is>
          <t>RONALD PEREZ</t>
        </is>
      </c>
      <c r="C347" s="80" t="inlineStr">
        <is>
          <t>Activ</t>
        </is>
      </c>
      <c r="D347" s="80" t="inlineStr">
        <is>
          <t>ERIC SANFORD</t>
        </is>
      </c>
      <c r="E347" s="80" t="inlineStr">
        <is>
          <t>REBECCA SPENCE</t>
        </is>
      </c>
      <c r="F347" s="80" t="inlineStr">
        <is>
          <t>ALEXANDER MILLER</t>
        </is>
      </c>
      <c r="G347" s="80" t="inlineStr">
        <is>
          <t>ALEXANDER MILLER</t>
        </is>
      </c>
      <c r="H347" s="80" t="inlineStr">
        <is>
          <t>135-1</t>
        </is>
      </c>
      <c r="I347" s="111">
        <f>COUNTIF(Tower_3!G:G,'All Associates'!A347)+COUNTIF(Tower_4!G:G,'All Associates'!A347)+COUNTIF(Tower_5!G:G,'All Associates'!A347)+COUNTIF(Tower_6!G:G,'All Associates'!A347)+COUNTIF(Riviera_3!G:G,'All Associates'!A347)+COUNTIF(Riviera_4!G:G,'All Associates'!A347)+COUNTIF(Riviera_5!G:G,'All Associates'!A347)</f>
        <v/>
      </c>
      <c r="J347" s="112">
        <f>IF(I347=0,"Not Allocated",IF(I347=1,"Allocated","Duplicate"))</f>
        <v/>
      </c>
    </row>
    <row r="348" hidden="1">
      <c r="A348" s="83" t="n">
        <v>417</v>
      </c>
      <c r="B348" s="80" t="inlineStr">
        <is>
          <t>JEREMY HAYDEN</t>
        </is>
      </c>
      <c r="C348" s="80" t="inlineStr">
        <is>
          <t>Activ</t>
        </is>
      </c>
      <c r="D348" s="80" t="inlineStr">
        <is>
          <t>ALLISON JACKSON</t>
        </is>
      </c>
      <c r="E348" s="80" t="inlineStr">
        <is>
          <t>ALEXANDER MILLER</t>
        </is>
      </c>
      <c r="F348" s="80" t="inlineStr">
        <is>
          <t>KIMBERLY CLARK</t>
        </is>
      </c>
      <c r="G348" s="80" t="inlineStr">
        <is>
          <t>ALEXANDER MILLER</t>
        </is>
      </c>
      <c r="H348" s="80" t="inlineStr">
        <is>
          <t>135-1</t>
        </is>
      </c>
      <c r="I348" s="111">
        <f>COUNTIF(Tower_3!G:G,'All Associates'!A348)+COUNTIF(Tower_4!G:G,'All Associates'!A348)+COUNTIF(Tower_5!G:G,'All Associates'!A348)+COUNTIF(Tower_6!G:G,'All Associates'!A348)+COUNTIF(Riviera_3!G:G,'All Associates'!A348)+COUNTIF(Riviera_4!G:G,'All Associates'!A348)+COUNTIF(Riviera_5!G:G,'All Associates'!A348)</f>
        <v/>
      </c>
      <c r="J348" s="112">
        <f>IF(I348=0,"Not Allocated",IF(I348=1,"Allocated","Duplicate"))</f>
        <v/>
      </c>
    </row>
    <row r="349" hidden="1">
      <c r="A349" s="83" t="n">
        <v>351</v>
      </c>
      <c r="B349" s="80" t="inlineStr">
        <is>
          <t>LORI BROWN</t>
        </is>
      </c>
      <c r="C349" s="80" t="inlineStr">
        <is>
          <t>Activ</t>
        </is>
      </c>
      <c r="D349" s="80" t="inlineStr">
        <is>
          <t>DANIEL ALVAREZ</t>
        </is>
      </c>
      <c r="E349" s="80" t="inlineStr">
        <is>
          <t>ALEXANDER BAUTISTA</t>
        </is>
      </c>
      <c r="F349" s="80" t="inlineStr">
        <is>
          <t>HEATHER SOLIS</t>
        </is>
      </c>
      <c r="G349" s="80" t="inlineStr">
        <is>
          <t>HEATHER SOLIS</t>
        </is>
      </c>
      <c r="H349" s="80" t="inlineStr">
        <is>
          <t>138-1</t>
        </is>
      </c>
      <c r="I349" s="111">
        <f>COUNTIF(Tower_3!G:G,'All Associates'!A349)+COUNTIF(Tower_4!G:G,'All Associates'!A349)+COUNTIF(Tower_5!G:G,'All Associates'!A349)+COUNTIF(Tower_6!G:G,'All Associates'!A349)+COUNTIF(Riviera_3!G:G,'All Associates'!A349)+COUNTIF(Riviera_4!G:G,'All Associates'!A349)+COUNTIF(Riviera_5!G:G,'All Associates'!A349)</f>
        <v/>
      </c>
      <c r="J349" s="112">
        <f>IF(I349=0,"Not Allocated",IF(I349=1,"Allocated","Duplicate"))</f>
        <v/>
      </c>
    </row>
    <row r="350" hidden="1">
      <c r="A350" s="83" t="n">
        <v>388</v>
      </c>
      <c r="B350" s="80" t="inlineStr">
        <is>
          <t>DANIEL FLOYD</t>
        </is>
      </c>
      <c r="C350" s="80" t="inlineStr">
        <is>
          <t>Activ</t>
        </is>
      </c>
      <c r="D350" s="80" t="inlineStr">
        <is>
          <t>JEFFREY JONES</t>
        </is>
      </c>
      <c r="E350" s="80" t="inlineStr">
        <is>
          <t>NATHAN HAMILTON</t>
        </is>
      </c>
      <c r="F350" s="80" t="inlineStr">
        <is>
          <t>KIMBERLY CLARK</t>
        </is>
      </c>
      <c r="G350" s="80" t="inlineStr">
        <is>
          <t>NATHAN HAMILTON</t>
        </is>
      </c>
      <c r="H350" s="80" t="inlineStr">
        <is>
          <t>221-1</t>
        </is>
      </c>
      <c r="I350" s="111">
        <f>COUNTIF(Tower_3!G:G,'All Associates'!A350)+COUNTIF(Tower_4!G:G,'All Associates'!A350)+COUNTIF(Tower_5!G:G,'All Associates'!A350)+COUNTIF(Tower_6!G:G,'All Associates'!A350)+COUNTIF(Riviera_3!G:G,'All Associates'!A350)+COUNTIF(Riviera_4!G:G,'All Associates'!A350)+COUNTIF(Riviera_5!G:G,'All Associates'!A350)</f>
        <v/>
      </c>
      <c r="J350" s="112">
        <f>IF(I350=0,"Not Allocated",IF(I350=1,"Allocated","Duplicate"))</f>
        <v/>
      </c>
    </row>
    <row r="351" hidden="1">
      <c r="A351" s="83" t="n">
        <v>1145</v>
      </c>
      <c r="B351" s="80" t="inlineStr">
        <is>
          <t>RYAN WALLACE</t>
        </is>
      </c>
      <c r="C351" s="80" t="inlineStr">
        <is>
          <t>Activ</t>
        </is>
      </c>
      <c r="D351" s="80" t="inlineStr">
        <is>
          <t>ROBERT MUELLER</t>
        </is>
      </c>
      <c r="E351" s="80" t="inlineStr">
        <is>
          <t>CHAD PEREZ</t>
        </is>
      </c>
      <c r="F351" s="80" t="inlineStr">
        <is>
          <t>MARISSA CROSS</t>
        </is>
      </c>
      <c r="G351" s="80" t="inlineStr">
        <is>
          <t>MARISSA CROSS</t>
        </is>
      </c>
      <c r="H351" s="80" t="inlineStr">
        <is>
          <t>220-2</t>
        </is>
      </c>
      <c r="I351" s="111">
        <f>COUNTIF(Tower_3!G:G,'All Associates'!A351)+COUNTIF(Tower_4!G:G,'All Associates'!A351)+COUNTIF(Tower_5!G:G,'All Associates'!A351)+COUNTIF(Tower_6!G:G,'All Associates'!A351)+COUNTIF(Riviera_3!G:G,'All Associates'!A351)+COUNTIF(Riviera_4!G:G,'All Associates'!A351)+COUNTIF(Riviera_5!G:G,'All Associates'!A351)</f>
        <v/>
      </c>
      <c r="J351" s="112">
        <f>IF(I351=0,"Not Allocated",IF(I351=1,"Allocated","Duplicate"))</f>
        <v/>
      </c>
    </row>
    <row r="352" hidden="1">
      <c r="A352" s="83" t="n">
        <v>414</v>
      </c>
      <c r="B352" s="80" t="inlineStr">
        <is>
          <t>STEPHANIE WRIGHT</t>
        </is>
      </c>
      <c r="C352" s="80" t="inlineStr">
        <is>
          <t>Activ</t>
        </is>
      </c>
      <c r="D352" s="80" t="inlineStr">
        <is>
          <t>DR. DIANA CARROLL</t>
        </is>
      </c>
      <c r="E352" s="80" t="inlineStr">
        <is>
          <t>HEATHER SOLIS</t>
        </is>
      </c>
      <c r="F352" s="80" t="inlineStr">
        <is>
          <t>KIMBERLY CLARK</t>
        </is>
      </c>
      <c r="G352" s="80" t="inlineStr">
        <is>
          <t>HEATHER SOLIS</t>
        </is>
      </c>
      <c r="H352" s="80" t="inlineStr">
        <is>
          <t>138-1</t>
        </is>
      </c>
      <c r="I352" s="111">
        <f>COUNTIF(Tower_3!G:G,'All Associates'!A352)+COUNTIF(Tower_4!G:G,'All Associates'!A352)+COUNTIF(Tower_5!G:G,'All Associates'!A352)+COUNTIF(Tower_6!G:G,'All Associates'!A352)+COUNTIF(Riviera_3!G:G,'All Associates'!A352)+COUNTIF(Riviera_4!G:G,'All Associates'!A352)+COUNTIF(Riviera_5!G:G,'All Associates'!A352)</f>
        <v/>
      </c>
      <c r="J352" s="112">
        <f>IF(I352=0,"Not Allocated",IF(I352=1,"Allocated","Duplicate"))</f>
        <v/>
      </c>
    </row>
    <row r="353" hidden="1">
      <c r="A353" s="83" t="n">
        <v>991</v>
      </c>
      <c r="B353" s="80" t="inlineStr">
        <is>
          <t>MISTY MARTIN</t>
        </is>
      </c>
      <c r="C353" s="80" t="inlineStr">
        <is>
          <t>Activ</t>
        </is>
      </c>
      <c r="D353" s="80" t="inlineStr">
        <is>
          <t>LISA KIM</t>
        </is>
      </c>
      <c r="E353" s="80" t="inlineStr">
        <is>
          <t>OSCAR TYLER</t>
        </is>
      </c>
      <c r="F353" s="80" t="inlineStr">
        <is>
          <t>KENNETH CONRAD</t>
        </is>
      </c>
      <c r="G353" s="80" t="inlineStr">
        <is>
          <t>KENNETH CONRAD</t>
        </is>
      </c>
      <c r="H353" s="80" t="inlineStr">
        <is>
          <t>127-1</t>
        </is>
      </c>
      <c r="I353" s="111">
        <f>COUNTIF(Tower_3!G:G,'All Associates'!A353)+COUNTIF(Tower_4!G:G,'All Associates'!A353)+COUNTIF(Tower_5!G:G,'All Associates'!A353)+COUNTIF(Tower_6!G:G,'All Associates'!A353)+COUNTIF(Riviera_3!G:G,'All Associates'!A353)+COUNTIF(Riviera_4!G:G,'All Associates'!A353)+COUNTIF(Riviera_5!G:G,'All Associates'!A353)</f>
        <v/>
      </c>
      <c r="J353" s="112">
        <f>IF(I353=0,"Not Allocated",IF(I353=1,"Allocated","Duplicate"))</f>
        <v/>
      </c>
    </row>
    <row r="354" hidden="1">
      <c r="A354" s="83" t="n">
        <v>1218</v>
      </c>
      <c r="B354" s="80" t="inlineStr">
        <is>
          <t>MARIA WILLIAMS</t>
        </is>
      </c>
      <c r="C354" s="80" t="inlineStr">
        <is>
          <t>Activ</t>
        </is>
      </c>
      <c r="D354" s="80" t="inlineStr">
        <is>
          <t>JOHN SCOTT DDS</t>
        </is>
      </c>
      <c r="E354" s="80" t="inlineStr">
        <is>
          <t>ADAM SMITH</t>
        </is>
      </c>
      <c r="F354" s="80" t="inlineStr">
        <is>
          <t>PHILLIP TRAVIS</t>
        </is>
      </c>
      <c r="G354" s="80" t="inlineStr">
        <is>
          <t>PHILLIP TRAVIS</t>
        </is>
      </c>
      <c r="H354" s="80" t="inlineStr">
        <is>
          <t>156-1</t>
        </is>
      </c>
      <c r="I354" s="111">
        <f>COUNTIF(Tower_3!G:G,'All Associates'!A354)+COUNTIF(Tower_4!G:G,'All Associates'!A354)+COUNTIF(Tower_5!G:G,'All Associates'!A354)+COUNTIF(Tower_6!G:G,'All Associates'!A354)+COUNTIF(Riviera_3!G:G,'All Associates'!A354)+COUNTIF(Riviera_4!G:G,'All Associates'!A354)+COUNTIF(Riviera_5!G:G,'All Associates'!A354)</f>
        <v/>
      </c>
      <c r="J354" s="112">
        <f>IF(I354=0,"Not Allocated",IF(I354=1,"Allocated","Duplicate"))</f>
        <v/>
      </c>
    </row>
    <row r="355" hidden="1">
      <c r="A355" s="83" t="n">
        <v>735</v>
      </c>
      <c r="B355" s="80" t="inlineStr">
        <is>
          <t>EVAN HARDY</t>
        </is>
      </c>
      <c r="C355" s="80" t="inlineStr">
        <is>
          <t>Activ</t>
        </is>
      </c>
      <c r="D355" s="80" t="inlineStr">
        <is>
          <t>CHAD PEREZ</t>
        </is>
      </c>
      <c r="E355" s="80" t="inlineStr">
        <is>
          <t>MARISSA CROSS</t>
        </is>
      </c>
      <c r="F355" s="80" t="inlineStr">
        <is>
          <t>KIMBERLY CLARK</t>
        </is>
      </c>
      <c r="G355" s="80" t="inlineStr">
        <is>
          <t>MARISSA CROSS</t>
        </is>
      </c>
      <c r="H355" s="80" t="inlineStr">
        <is>
          <t>220-2</t>
        </is>
      </c>
      <c r="I355" s="111">
        <f>COUNTIF(Tower_3!G:G,'All Associates'!A355)+COUNTIF(Tower_4!G:G,'All Associates'!A355)+COUNTIF(Tower_5!G:G,'All Associates'!A355)+COUNTIF(Tower_6!G:G,'All Associates'!A355)+COUNTIF(Riviera_3!G:G,'All Associates'!A355)+COUNTIF(Riviera_4!G:G,'All Associates'!A355)+COUNTIF(Riviera_5!G:G,'All Associates'!A355)</f>
        <v/>
      </c>
      <c r="J355" s="112">
        <f>IF(I355=0,"Not Allocated",IF(I355=1,"Allocated","Duplicate"))</f>
        <v/>
      </c>
    </row>
    <row r="356">
      <c r="A356" s="84" t="n">
        <v>801</v>
      </c>
      <c r="B356" s="81" t="inlineStr">
        <is>
          <t>NATASHA HARRIS</t>
        </is>
      </c>
      <c r="C356" s="81" t="inlineStr">
        <is>
          <t>Activ</t>
        </is>
      </c>
      <c r="D356" s="81" t="inlineStr">
        <is>
          <t>ALICIA WOODS</t>
        </is>
      </c>
      <c r="E356" s="81" t="inlineStr">
        <is>
          <t>KIMBERLY CLARK</t>
        </is>
      </c>
      <c r="F356" s="81" t="inlineStr">
        <is>
          <t>KIMBERLY CLARK</t>
        </is>
      </c>
      <c r="G356" s="81" t="inlineStr">
        <is>
          <t>KIMBERLY CLARK</t>
        </is>
      </c>
      <c r="H356" s="81" t="inlineStr">
        <is>
          <t>411-1</t>
        </is>
      </c>
      <c r="I356" s="111">
        <f>COUNTIF(Tower_3!G:G,'All Associates'!A356)+COUNTIF(Tower_4!G:G,'All Associates'!A356)+COUNTIF(Tower_5!G:G,'All Associates'!A356)+COUNTIF(Tower_6!G:G,'All Associates'!A356)+COUNTIF(Riviera_3!G:G,'All Associates'!A356)+COUNTIF(Riviera_4!G:G,'All Associates'!A356)+COUNTIF(Riviera_5!G:G,'All Associates'!A356)</f>
        <v/>
      </c>
      <c r="J356" s="112">
        <f>IF(I356=0,"Not Allocated",IF(I356=1,"Allocated","Duplicate"))</f>
        <v/>
      </c>
    </row>
    <row r="357" hidden="1">
      <c r="A357" s="83" t="n">
        <v>335</v>
      </c>
      <c r="B357" s="80" t="inlineStr">
        <is>
          <t>CHRISTOPHER GORDON</t>
        </is>
      </c>
      <c r="C357" s="80" t="inlineStr">
        <is>
          <t>Activ</t>
        </is>
      </c>
      <c r="D357" s="80" t="inlineStr">
        <is>
          <t>HEATHER SOLIS</t>
        </is>
      </c>
      <c r="E357" s="80" t="inlineStr">
        <is>
          <t>KIMBERLY CLARK</t>
        </is>
      </c>
      <c r="F357" s="80" t="inlineStr">
        <is>
          <t>KIMBERLY CLARK</t>
        </is>
      </c>
      <c r="G357" s="80" t="inlineStr">
        <is>
          <t>HEATHER SOLIS</t>
        </is>
      </c>
      <c r="H357" s="80" t="inlineStr">
        <is>
          <t>138-1</t>
        </is>
      </c>
      <c r="I357" s="111">
        <f>COUNTIF(Tower_3!G:G,'All Associates'!A357)+COUNTIF(Tower_4!G:G,'All Associates'!A357)+COUNTIF(Tower_5!G:G,'All Associates'!A357)+COUNTIF(Tower_6!G:G,'All Associates'!A357)+COUNTIF(Riviera_3!G:G,'All Associates'!A357)+COUNTIF(Riviera_4!G:G,'All Associates'!A357)+COUNTIF(Riviera_5!G:G,'All Associates'!A357)</f>
        <v/>
      </c>
      <c r="J357" s="112">
        <f>IF(I357=0,"Not Allocated",IF(I357=1,"Allocated","Duplicate"))</f>
        <v/>
      </c>
    </row>
    <row r="358" hidden="1">
      <c r="A358" s="83" t="n">
        <v>123</v>
      </c>
      <c r="B358" s="80" t="inlineStr">
        <is>
          <t>JOHN DUNCAN</t>
        </is>
      </c>
      <c r="C358" s="80" t="inlineStr">
        <is>
          <t>Activ</t>
        </is>
      </c>
      <c r="D358" s="80" t="inlineStr">
        <is>
          <t>KIMBERLY CLARK</t>
        </is>
      </c>
      <c r="E358" s="80" t="inlineStr">
        <is>
          <t>KIMBERLY CLARK</t>
        </is>
      </c>
      <c r="F358" s="80" t="inlineStr">
        <is>
          <t>KIMBERLY CLARK</t>
        </is>
      </c>
      <c r="G358" s="80" t="inlineStr">
        <is>
          <t>PHILLIP TRAVIS</t>
        </is>
      </c>
      <c r="H358" s="80" t="inlineStr">
        <is>
          <t>156-1</t>
        </is>
      </c>
      <c r="I358" s="111">
        <f>COUNTIF(Tower_3!G:G,'All Associates'!A358)+COUNTIF(Tower_4!G:G,'All Associates'!A358)+COUNTIF(Tower_5!G:G,'All Associates'!A358)+COUNTIF(Tower_6!G:G,'All Associates'!A358)+COUNTIF(Riviera_3!G:G,'All Associates'!A358)+COUNTIF(Riviera_4!G:G,'All Associates'!A358)+COUNTIF(Riviera_5!G:G,'All Associates'!A358)</f>
        <v/>
      </c>
      <c r="J358" s="112">
        <f>IF(I358=0,"Not Allocated",IF(I358=1,"Allocated","Duplicate"))</f>
        <v/>
      </c>
    </row>
    <row r="359" hidden="1">
      <c r="A359" s="83" t="n">
        <v>972</v>
      </c>
      <c r="B359" s="80" t="inlineStr">
        <is>
          <t>KARINA MASON</t>
        </is>
      </c>
      <c r="C359" s="80" t="inlineStr">
        <is>
          <t>Activ</t>
        </is>
      </c>
      <c r="D359" s="80" t="inlineStr">
        <is>
          <t>EDDIE DAY</t>
        </is>
      </c>
      <c r="E359" s="80" t="inlineStr">
        <is>
          <t>STEPHANIE WEAVER</t>
        </is>
      </c>
      <c r="F359" s="80" t="inlineStr">
        <is>
          <t>MARISSA CROSS</t>
        </is>
      </c>
      <c r="G359" s="80" t="inlineStr">
        <is>
          <t>MARISSA CROSS</t>
        </is>
      </c>
      <c r="H359" s="80" t="inlineStr">
        <is>
          <t>220-2</t>
        </is>
      </c>
      <c r="I359" s="111">
        <f>COUNTIF(Tower_3!G:G,'All Associates'!A359)+COUNTIF(Tower_4!G:G,'All Associates'!A359)+COUNTIF(Tower_5!G:G,'All Associates'!A359)+COUNTIF(Tower_6!G:G,'All Associates'!A359)+COUNTIF(Riviera_3!G:G,'All Associates'!A359)+COUNTIF(Riviera_4!G:G,'All Associates'!A359)+COUNTIF(Riviera_5!G:G,'All Associates'!A359)</f>
        <v/>
      </c>
      <c r="J359" s="112">
        <f>IF(I359=0,"Not Allocated",IF(I359=1,"Allocated","Duplicate"))</f>
        <v/>
      </c>
    </row>
    <row r="360" hidden="1">
      <c r="A360" s="83" t="n">
        <v>1203</v>
      </c>
      <c r="B360" s="80" t="inlineStr">
        <is>
          <t>MERCEDES SIMPSON</t>
        </is>
      </c>
      <c r="C360" s="80" t="inlineStr">
        <is>
          <t>Activ</t>
        </is>
      </c>
      <c r="D360" s="80" t="inlineStr">
        <is>
          <t>KATHERINE DELGADO</t>
        </is>
      </c>
      <c r="E360" s="80" t="inlineStr">
        <is>
          <t>LOUIS PETERSEN</t>
        </is>
      </c>
      <c r="F360" s="80" t="inlineStr">
        <is>
          <t>KENNETH CONRAD</t>
        </is>
      </c>
      <c r="G360" s="80" t="inlineStr">
        <is>
          <t>KENNETH CONRAD</t>
        </is>
      </c>
      <c r="H360" s="80" t="inlineStr">
        <is>
          <t>127-1</t>
        </is>
      </c>
      <c r="I360" s="111">
        <f>COUNTIF(Tower_3!G:G,'All Associates'!A360)+COUNTIF(Tower_4!G:G,'All Associates'!A360)+COUNTIF(Tower_5!G:G,'All Associates'!A360)+COUNTIF(Tower_6!G:G,'All Associates'!A360)+COUNTIF(Riviera_3!G:G,'All Associates'!A360)+COUNTIF(Riviera_4!G:G,'All Associates'!A360)+COUNTIF(Riviera_5!G:G,'All Associates'!A360)</f>
        <v/>
      </c>
      <c r="J360" s="112">
        <f>IF(I360=0,"Not Allocated",IF(I360=1,"Allocated","Duplicate"))</f>
        <v/>
      </c>
    </row>
    <row r="361" hidden="1">
      <c r="A361" s="83" t="n">
        <v>427</v>
      </c>
      <c r="B361" s="80" t="inlineStr">
        <is>
          <t>ANDREW AYERS</t>
        </is>
      </c>
      <c r="C361" s="80" t="inlineStr">
        <is>
          <t>Activ</t>
        </is>
      </c>
      <c r="D361" s="80" t="inlineStr">
        <is>
          <t>DR. DIANA CARROLL</t>
        </is>
      </c>
      <c r="E361" s="80" t="inlineStr">
        <is>
          <t>HEATHER SOLIS</t>
        </is>
      </c>
      <c r="F361" s="80" t="inlineStr">
        <is>
          <t>KIMBERLY CLARK</t>
        </is>
      </c>
      <c r="G361" s="80" t="inlineStr">
        <is>
          <t>HEATHER SOLIS</t>
        </is>
      </c>
      <c r="H361" s="80" t="inlineStr">
        <is>
          <t>138-1</t>
        </is>
      </c>
      <c r="I361" s="111">
        <f>COUNTIF(Tower_3!G:G,'All Associates'!A361)+COUNTIF(Tower_4!G:G,'All Associates'!A361)+COUNTIF(Tower_5!G:G,'All Associates'!A361)+COUNTIF(Tower_6!G:G,'All Associates'!A361)+COUNTIF(Riviera_3!G:G,'All Associates'!A361)+COUNTIF(Riviera_4!G:G,'All Associates'!A361)+COUNTIF(Riviera_5!G:G,'All Associates'!A361)</f>
        <v/>
      </c>
      <c r="J361" s="112">
        <f>IF(I361=0,"Not Allocated",IF(I361=1,"Allocated","Duplicate"))</f>
        <v/>
      </c>
    </row>
    <row r="362" hidden="1">
      <c r="A362" s="83" t="n">
        <v>705</v>
      </c>
      <c r="B362" s="80" t="inlineStr">
        <is>
          <t>MATTHEW MCCARTHY</t>
        </is>
      </c>
      <c r="C362" s="80" t="inlineStr">
        <is>
          <t>Activ</t>
        </is>
      </c>
      <c r="D362" s="80" t="inlineStr">
        <is>
          <t>ASHLEY FRENCH</t>
        </is>
      </c>
      <c r="E362" s="80" t="inlineStr">
        <is>
          <t>PHILLIP TRAVIS</t>
        </is>
      </c>
      <c r="F362" s="80" t="inlineStr">
        <is>
          <t>KIMBERLY CLARK</t>
        </is>
      </c>
      <c r="G362" s="80" t="inlineStr">
        <is>
          <t>PHILLIP TRAVIS</t>
        </is>
      </c>
      <c r="H362" s="80" t="inlineStr">
        <is>
          <t>156-1</t>
        </is>
      </c>
      <c r="I362" s="111">
        <f>COUNTIF(Tower_3!G:G,'All Associates'!A362)+COUNTIF(Tower_4!G:G,'All Associates'!A362)+COUNTIF(Tower_5!G:G,'All Associates'!A362)+COUNTIF(Tower_6!G:G,'All Associates'!A362)+COUNTIF(Riviera_3!G:G,'All Associates'!A362)+COUNTIF(Riviera_4!G:G,'All Associates'!A362)+COUNTIF(Riviera_5!G:G,'All Associates'!A362)</f>
        <v/>
      </c>
      <c r="J362" s="112">
        <f>IF(I362=0,"Not Allocated",IF(I362=1,"Allocated","Duplicate"))</f>
        <v/>
      </c>
    </row>
    <row r="363" hidden="1">
      <c r="A363" s="83" t="n">
        <v>1110</v>
      </c>
      <c r="B363" s="80" t="inlineStr">
        <is>
          <t>DENNIS HANNA</t>
        </is>
      </c>
      <c r="C363" s="80" t="inlineStr">
        <is>
          <t>Activ</t>
        </is>
      </c>
      <c r="D363" s="80" t="inlineStr">
        <is>
          <t>JESSICA FERNANDEZ</t>
        </is>
      </c>
      <c r="E363" s="80" t="inlineStr">
        <is>
          <t>BRAD COOLEY</t>
        </is>
      </c>
      <c r="F363" s="80" t="inlineStr">
        <is>
          <t>MR. MICHAEL KELLY</t>
        </is>
      </c>
      <c r="G363" s="80" t="inlineStr">
        <is>
          <t>HEATHER SOLIS</t>
        </is>
      </c>
      <c r="H363" s="80" t="inlineStr">
        <is>
          <t>138-2</t>
        </is>
      </c>
      <c r="I363" s="111">
        <f>COUNTIF(Tower_3!G:G,'All Associates'!A363)+COUNTIF(Tower_4!G:G,'All Associates'!A363)+COUNTIF(Tower_5!G:G,'All Associates'!A363)+COUNTIF(Tower_6!G:G,'All Associates'!A363)+COUNTIF(Riviera_3!G:G,'All Associates'!A363)+COUNTIF(Riviera_4!G:G,'All Associates'!A363)+COUNTIF(Riviera_5!G:G,'All Associates'!A363)</f>
        <v/>
      </c>
      <c r="J363" s="112">
        <f>IF(I363=0,"Not Allocated",IF(I363=1,"Allocated","Duplicate"))</f>
        <v/>
      </c>
    </row>
    <row r="364" hidden="1">
      <c r="A364" s="83" t="n">
        <v>805</v>
      </c>
      <c r="B364" s="80" t="inlineStr">
        <is>
          <t>AMANDA ACOSTA</t>
        </is>
      </c>
      <c r="C364" s="80" t="inlineStr">
        <is>
          <t>Activ</t>
        </is>
      </c>
      <c r="D364" s="80" t="inlineStr">
        <is>
          <t>GARRETT PARKER</t>
        </is>
      </c>
      <c r="E364" s="80" t="inlineStr">
        <is>
          <t>ASHLEY FRENCH</t>
        </is>
      </c>
      <c r="F364" s="80" t="inlineStr">
        <is>
          <t>PHILLIP TRAVIS</t>
        </is>
      </c>
      <c r="G364" s="80" t="inlineStr">
        <is>
          <t>PHILLIP TRAVIS</t>
        </is>
      </c>
      <c r="H364" s="80" t="inlineStr">
        <is>
          <t>156-1</t>
        </is>
      </c>
      <c r="I364" s="111">
        <f>COUNTIF(Tower_3!G:G,'All Associates'!A364)+COUNTIF(Tower_4!G:G,'All Associates'!A364)+COUNTIF(Tower_5!G:G,'All Associates'!A364)+COUNTIF(Tower_6!G:G,'All Associates'!A364)+COUNTIF(Riviera_3!G:G,'All Associates'!A364)+COUNTIF(Riviera_4!G:G,'All Associates'!A364)+COUNTIF(Riviera_5!G:G,'All Associates'!A364)</f>
        <v/>
      </c>
      <c r="J364" s="112">
        <f>IF(I364=0,"Not Allocated",IF(I364=1,"Allocated","Duplicate"))</f>
        <v/>
      </c>
    </row>
    <row r="365" hidden="1">
      <c r="A365" s="83" t="n">
        <v>907</v>
      </c>
      <c r="B365" s="80" t="inlineStr">
        <is>
          <t>ROBERT SANDOVAL</t>
        </is>
      </c>
      <c r="C365" s="80" t="inlineStr">
        <is>
          <t>Activ</t>
        </is>
      </c>
      <c r="D365" s="80" t="inlineStr">
        <is>
          <t>BETH TUCKER</t>
        </is>
      </c>
      <c r="E365" s="80" t="inlineStr">
        <is>
          <t>KIMBERLY CLARK</t>
        </is>
      </c>
      <c r="F365" s="80" t="inlineStr">
        <is>
          <t>KIMBERLY CLARK</t>
        </is>
      </c>
      <c r="G365" s="80" t="inlineStr">
        <is>
          <t>KIMBERLY CLARK</t>
        </is>
      </c>
      <c r="H365" s="80" t="inlineStr">
        <is>
          <t>156-2</t>
        </is>
      </c>
      <c r="I365" s="111">
        <f>COUNTIF(Tower_3!G:G,'All Associates'!A365)+COUNTIF(Tower_4!G:G,'All Associates'!A365)+COUNTIF(Tower_5!G:G,'All Associates'!A365)+COUNTIF(Tower_6!G:G,'All Associates'!A365)+COUNTIF(Riviera_3!G:G,'All Associates'!A365)+COUNTIF(Riviera_4!G:G,'All Associates'!A365)+COUNTIF(Riviera_5!G:G,'All Associates'!A365)</f>
        <v/>
      </c>
      <c r="J365" s="112">
        <f>IF(I365=0,"Not Allocated",IF(I365=1,"Allocated","Duplicate"))</f>
        <v/>
      </c>
    </row>
    <row r="366" hidden="1">
      <c r="A366" s="83" t="n">
        <v>699</v>
      </c>
      <c r="B366" s="80" t="inlineStr">
        <is>
          <t>TRACEY WALL</t>
        </is>
      </c>
      <c r="C366" s="80" t="inlineStr">
        <is>
          <t>Activ</t>
        </is>
      </c>
      <c r="D366" s="80" t="inlineStr">
        <is>
          <t>MARISSA CROSS</t>
        </is>
      </c>
      <c r="E366" s="80" t="inlineStr">
        <is>
          <t>KIMBERLY CLARK</t>
        </is>
      </c>
      <c r="F366" s="80" t="inlineStr">
        <is>
          <t>KIMBERLY CLARK</t>
        </is>
      </c>
      <c r="G366" s="80" t="inlineStr">
        <is>
          <t>MARISSA CROSS</t>
        </is>
      </c>
      <c r="H366" s="80" t="inlineStr">
        <is>
          <t>220-2</t>
        </is>
      </c>
      <c r="I366" s="111">
        <f>COUNTIF(Tower_3!G:G,'All Associates'!A366)+COUNTIF(Tower_4!G:G,'All Associates'!A366)+COUNTIF(Tower_5!G:G,'All Associates'!A366)+COUNTIF(Tower_6!G:G,'All Associates'!A366)+COUNTIF(Riviera_3!G:G,'All Associates'!A366)+COUNTIF(Riviera_4!G:G,'All Associates'!A366)+COUNTIF(Riviera_5!G:G,'All Associates'!A366)</f>
        <v/>
      </c>
      <c r="J366" s="112">
        <f>IF(I366=0,"Not Allocated",IF(I366=1,"Allocated","Duplicate"))</f>
        <v/>
      </c>
    </row>
    <row r="367" hidden="1">
      <c r="A367" s="83" t="n">
        <v>371</v>
      </c>
      <c r="B367" s="80" t="inlineStr">
        <is>
          <t>GREGORY THORNTON</t>
        </is>
      </c>
      <c r="C367" s="80" t="inlineStr">
        <is>
          <t>Activ</t>
        </is>
      </c>
      <c r="D367" s="80" t="inlineStr">
        <is>
          <t>TIMOTHY WELCH</t>
        </is>
      </c>
      <c r="E367" s="80" t="inlineStr">
        <is>
          <t>CHAD PEREZ</t>
        </is>
      </c>
      <c r="F367" s="80" t="inlineStr">
        <is>
          <t>MARISSA CROSS</t>
        </is>
      </c>
      <c r="G367" s="80" t="inlineStr">
        <is>
          <t>MARISSA CROSS</t>
        </is>
      </c>
      <c r="H367" s="80" t="inlineStr">
        <is>
          <t>220-2</t>
        </is>
      </c>
      <c r="I367" s="111">
        <f>COUNTIF(Tower_3!G:G,'All Associates'!A367)+COUNTIF(Tower_4!G:G,'All Associates'!A367)+COUNTIF(Tower_5!G:G,'All Associates'!A367)+COUNTIF(Tower_6!G:G,'All Associates'!A367)+COUNTIF(Riviera_3!G:G,'All Associates'!A367)+COUNTIF(Riviera_4!G:G,'All Associates'!A367)+COUNTIF(Riviera_5!G:G,'All Associates'!A367)</f>
        <v/>
      </c>
      <c r="J367" s="112">
        <f>IF(I367=0,"Not Allocated",IF(I367=1,"Allocated","Duplicate"))</f>
        <v/>
      </c>
    </row>
    <row r="368" hidden="1">
      <c r="A368" s="83" t="n">
        <v>1124</v>
      </c>
      <c r="B368" s="80" t="inlineStr">
        <is>
          <t>KELLY JONES</t>
        </is>
      </c>
      <c r="C368" s="80" t="inlineStr">
        <is>
          <t>Activ</t>
        </is>
      </c>
      <c r="D368" s="80" t="inlineStr">
        <is>
          <t>JOSHUA FRENCH</t>
        </is>
      </c>
      <c r="E368" s="80" t="inlineStr">
        <is>
          <t>STEPHANIE WEAVER</t>
        </is>
      </c>
      <c r="F368" s="80" t="inlineStr">
        <is>
          <t>MARISSA CROSS</t>
        </is>
      </c>
      <c r="G368" s="80" t="inlineStr">
        <is>
          <t>MARISSA CROSS</t>
        </is>
      </c>
      <c r="H368" s="80" t="inlineStr">
        <is>
          <t>220-2</t>
        </is>
      </c>
      <c r="I368" s="111">
        <f>COUNTIF(Tower_3!G:G,'All Associates'!A368)+COUNTIF(Tower_4!G:G,'All Associates'!A368)+COUNTIF(Tower_5!G:G,'All Associates'!A368)+COUNTIF(Tower_6!G:G,'All Associates'!A368)+COUNTIF(Riviera_3!G:G,'All Associates'!A368)+COUNTIF(Riviera_4!G:G,'All Associates'!A368)+COUNTIF(Riviera_5!G:G,'All Associates'!A368)</f>
        <v/>
      </c>
      <c r="J368" s="112">
        <f>IF(I368=0,"Not Allocated",IF(I368=1,"Allocated","Duplicate"))</f>
        <v/>
      </c>
    </row>
    <row r="369" hidden="1">
      <c r="A369" s="83" t="n">
        <v>1048</v>
      </c>
      <c r="B369" s="80" t="inlineStr">
        <is>
          <t>MR. MATTHEW HOOVER</t>
        </is>
      </c>
      <c r="C369" s="80" t="inlineStr">
        <is>
          <t>Activ</t>
        </is>
      </c>
      <c r="D369" s="80" t="inlineStr">
        <is>
          <t>LYDIA JACKSON</t>
        </is>
      </c>
      <c r="E369" s="80" t="inlineStr">
        <is>
          <t>HEATHER SOLIS</t>
        </is>
      </c>
      <c r="F369" s="80" t="inlineStr">
        <is>
          <t>KIMBERLY CLARK</t>
        </is>
      </c>
      <c r="G369" s="80" t="inlineStr">
        <is>
          <t>HEATHER SOLIS</t>
        </is>
      </c>
      <c r="H369" s="80" t="inlineStr">
        <is>
          <t>138-1</t>
        </is>
      </c>
      <c r="I369" s="111">
        <f>COUNTIF(Tower_3!G:G,'All Associates'!A369)+COUNTIF(Tower_4!G:G,'All Associates'!A369)+COUNTIF(Tower_5!G:G,'All Associates'!A369)+COUNTIF(Tower_6!G:G,'All Associates'!A369)+COUNTIF(Riviera_3!G:G,'All Associates'!A369)+COUNTIF(Riviera_4!G:G,'All Associates'!A369)+COUNTIF(Riviera_5!G:G,'All Associates'!A369)</f>
        <v/>
      </c>
      <c r="J369" s="112">
        <f>IF(I369=0,"Not Allocated",IF(I369=1,"Allocated","Duplicate"))</f>
        <v/>
      </c>
    </row>
    <row r="370" hidden="1">
      <c r="A370" s="83" t="n">
        <v>316</v>
      </c>
      <c r="B370" s="80" t="inlineStr">
        <is>
          <t>WANDA GRAY</t>
        </is>
      </c>
      <c r="C370" s="80" t="inlineStr">
        <is>
          <t>Activ</t>
        </is>
      </c>
      <c r="D370" s="80" t="inlineStr">
        <is>
          <t>LARRY KIM</t>
        </is>
      </c>
      <c r="E370" s="80" t="inlineStr">
        <is>
          <t>KENNETH CONRAD</t>
        </is>
      </c>
      <c r="F370" s="80" t="inlineStr">
        <is>
          <t>KIMBERLY CLARK</t>
        </is>
      </c>
      <c r="G370" s="80" t="inlineStr">
        <is>
          <t>KENNETH CONRAD</t>
        </is>
      </c>
      <c r="H370" s="80" t="inlineStr">
        <is>
          <t>127-1</t>
        </is>
      </c>
      <c r="I370" s="111">
        <f>COUNTIF(Tower_3!G:G,'All Associates'!A370)+COUNTIF(Tower_4!G:G,'All Associates'!A370)+COUNTIF(Tower_5!G:G,'All Associates'!A370)+COUNTIF(Tower_6!G:G,'All Associates'!A370)+COUNTIF(Riviera_3!G:G,'All Associates'!A370)+COUNTIF(Riviera_4!G:G,'All Associates'!A370)+COUNTIF(Riviera_5!G:G,'All Associates'!A370)</f>
        <v/>
      </c>
      <c r="J370" s="112">
        <f>IF(I370=0,"Not Allocated",IF(I370=1,"Allocated","Duplicate"))</f>
        <v/>
      </c>
    </row>
    <row r="371" hidden="1">
      <c r="A371" s="83" t="n">
        <v>725</v>
      </c>
      <c r="B371" s="80" t="inlineStr">
        <is>
          <t>SAMANTHA SNYDER</t>
        </is>
      </c>
      <c r="C371" s="80" t="inlineStr">
        <is>
          <t>Activ</t>
        </is>
      </c>
      <c r="D371" s="80" t="inlineStr">
        <is>
          <t>ROBERT MUELLER</t>
        </is>
      </c>
      <c r="E371" s="80" t="inlineStr">
        <is>
          <t>CHAD PEREZ</t>
        </is>
      </c>
      <c r="F371" s="80" t="inlineStr">
        <is>
          <t>MARISSA CROSS</t>
        </is>
      </c>
      <c r="G371" s="80" t="inlineStr">
        <is>
          <t>MARISSA CROSS</t>
        </is>
      </c>
      <c r="H371" s="80" t="inlineStr">
        <is>
          <t>220-2</t>
        </is>
      </c>
      <c r="I371" s="111">
        <f>COUNTIF(Tower_3!G:G,'All Associates'!A371)+COUNTIF(Tower_4!G:G,'All Associates'!A371)+COUNTIF(Tower_5!G:G,'All Associates'!A371)+COUNTIF(Tower_6!G:G,'All Associates'!A371)+COUNTIF(Riviera_3!G:G,'All Associates'!A371)+COUNTIF(Riviera_4!G:G,'All Associates'!A371)+COUNTIF(Riviera_5!G:G,'All Associates'!A371)</f>
        <v/>
      </c>
      <c r="J371" s="112">
        <f>IF(I371=0,"Not Allocated",IF(I371=1,"Allocated","Duplicate"))</f>
        <v/>
      </c>
    </row>
    <row r="372" hidden="1">
      <c r="A372" s="83" t="n">
        <v>577</v>
      </c>
      <c r="B372" s="80" t="inlineStr">
        <is>
          <t>MARIA CRAWFORD</t>
        </is>
      </c>
      <c r="C372" s="80" t="inlineStr">
        <is>
          <t>Activ</t>
        </is>
      </c>
      <c r="D372" s="80" t="inlineStr">
        <is>
          <t>JEFFREY JONES</t>
        </is>
      </c>
      <c r="E372" s="80" t="inlineStr">
        <is>
          <t>NATHAN HAMILTON</t>
        </is>
      </c>
      <c r="F372" s="80" t="inlineStr">
        <is>
          <t>KIMBERLY CLARK</t>
        </is>
      </c>
      <c r="G372" s="80" t="inlineStr">
        <is>
          <t>NATHAN HAMILTON</t>
        </is>
      </c>
      <c r="H372" s="80" t="inlineStr">
        <is>
          <t>221-1</t>
        </is>
      </c>
      <c r="I372" s="111">
        <f>COUNTIF(Tower_3!G:G,'All Associates'!A372)+COUNTIF(Tower_4!G:G,'All Associates'!A372)+COUNTIF(Tower_5!G:G,'All Associates'!A372)+COUNTIF(Tower_6!G:G,'All Associates'!A372)+COUNTIF(Riviera_3!G:G,'All Associates'!A372)+COUNTIF(Riviera_4!G:G,'All Associates'!A372)+COUNTIF(Riviera_5!G:G,'All Associates'!A372)</f>
        <v/>
      </c>
      <c r="J372" s="112">
        <f>IF(I372=0,"Not Allocated",IF(I372=1,"Allocated","Duplicate"))</f>
        <v/>
      </c>
    </row>
    <row r="373" hidden="1">
      <c r="A373" s="83" t="n">
        <v>1117</v>
      </c>
      <c r="B373" s="80" t="inlineStr">
        <is>
          <t>AMY OLSON</t>
        </is>
      </c>
      <c r="C373" s="80" t="inlineStr">
        <is>
          <t>Activ</t>
        </is>
      </c>
      <c r="D373" s="80" t="inlineStr">
        <is>
          <t>BRAD COOLEY</t>
        </is>
      </c>
      <c r="E373" s="80" t="inlineStr">
        <is>
          <t>MR. MICHAEL KELLY</t>
        </is>
      </c>
      <c r="F373" s="80" t="inlineStr">
        <is>
          <t>HEATHER SOLIS</t>
        </is>
      </c>
      <c r="G373" s="80" t="inlineStr">
        <is>
          <t>HEATHER SOLIS</t>
        </is>
      </c>
      <c r="H373" s="80" t="inlineStr">
        <is>
          <t>138-2</t>
        </is>
      </c>
      <c r="I373" s="111">
        <f>COUNTIF(Tower_3!G:G,'All Associates'!A373)+COUNTIF(Tower_4!G:G,'All Associates'!A373)+COUNTIF(Tower_5!G:G,'All Associates'!A373)+COUNTIF(Tower_6!G:G,'All Associates'!A373)+COUNTIF(Riviera_3!G:G,'All Associates'!A373)+COUNTIF(Riviera_4!G:G,'All Associates'!A373)+COUNTIF(Riviera_5!G:G,'All Associates'!A373)</f>
        <v/>
      </c>
      <c r="J373" s="112">
        <f>IF(I373=0,"Not Allocated",IF(I373=1,"Allocated","Duplicate"))</f>
        <v/>
      </c>
    </row>
    <row r="374" hidden="1">
      <c r="A374" s="83" t="n">
        <v>1080</v>
      </c>
      <c r="B374" s="80" t="inlineStr">
        <is>
          <t>TYLER LEWIS</t>
        </is>
      </c>
      <c r="C374" s="80" t="inlineStr">
        <is>
          <t>Activ</t>
        </is>
      </c>
      <c r="D374" s="80" t="inlineStr">
        <is>
          <t>STEPHANIE PERKINS</t>
        </is>
      </c>
      <c r="E374" s="80" t="inlineStr">
        <is>
          <t>MR. MICHAEL KELLY</t>
        </is>
      </c>
      <c r="F374" s="80" t="inlineStr">
        <is>
          <t>HEATHER SOLIS</t>
        </is>
      </c>
      <c r="G374" s="80" t="inlineStr">
        <is>
          <t>HEATHER SOLIS</t>
        </is>
      </c>
      <c r="H374" s="80" t="inlineStr">
        <is>
          <t>138-2</t>
        </is>
      </c>
      <c r="I374" s="111">
        <f>COUNTIF(Tower_3!G:G,'All Associates'!A374)+COUNTIF(Tower_4!G:G,'All Associates'!A374)+COUNTIF(Tower_5!G:G,'All Associates'!A374)+COUNTIF(Tower_6!G:G,'All Associates'!A374)+COUNTIF(Riviera_3!G:G,'All Associates'!A374)+COUNTIF(Riviera_4!G:G,'All Associates'!A374)+COUNTIF(Riviera_5!G:G,'All Associates'!A374)</f>
        <v/>
      </c>
      <c r="J374" s="112">
        <f>IF(I374=0,"Not Allocated",IF(I374=1,"Allocated","Duplicate"))</f>
        <v/>
      </c>
    </row>
    <row r="375" hidden="1">
      <c r="A375" s="83" t="n">
        <v>506</v>
      </c>
      <c r="B375" s="80" t="inlineStr">
        <is>
          <t>CLIFFORD ROBERTSON</t>
        </is>
      </c>
      <c r="C375" s="80" t="inlineStr">
        <is>
          <t>Activ</t>
        </is>
      </c>
      <c r="D375" s="80" t="inlineStr">
        <is>
          <t>ADRIAN WILLIAMS</t>
        </is>
      </c>
      <c r="E375" s="80" t="inlineStr">
        <is>
          <t>STEPHANIE HARVEY</t>
        </is>
      </c>
      <c r="F375" s="80" t="inlineStr">
        <is>
          <t>NATHAN HAMILTON</t>
        </is>
      </c>
      <c r="G375" s="80" t="inlineStr">
        <is>
          <t>NATHAN HAMILTON</t>
        </is>
      </c>
      <c r="H375" s="80" t="inlineStr">
        <is>
          <t>221-1</t>
        </is>
      </c>
      <c r="I375" s="111">
        <f>COUNTIF(Tower_3!G:G,'All Associates'!A375)+COUNTIF(Tower_4!G:G,'All Associates'!A375)+COUNTIF(Tower_5!G:G,'All Associates'!A375)+COUNTIF(Tower_6!G:G,'All Associates'!A375)+COUNTIF(Riviera_3!G:G,'All Associates'!A375)+COUNTIF(Riviera_4!G:G,'All Associates'!A375)+COUNTIF(Riviera_5!G:G,'All Associates'!A375)</f>
        <v/>
      </c>
      <c r="J375" s="112">
        <f>IF(I375=0,"Not Allocated",IF(I375=1,"Allocated","Duplicate"))</f>
        <v/>
      </c>
    </row>
    <row r="376" hidden="1">
      <c r="A376" s="83" t="n">
        <v>1146</v>
      </c>
      <c r="B376" s="80" t="inlineStr">
        <is>
          <t>REGINA VASQUEZ</t>
        </is>
      </c>
      <c r="C376" s="80" t="inlineStr">
        <is>
          <t>Activ</t>
        </is>
      </c>
      <c r="D376" s="80" t="inlineStr">
        <is>
          <t>ERIC SANFORD</t>
        </is>
      </c>
      <c r="E376" s="80" t="inlineStr">
        <is>
          <t>REBECCA SPENCE</t>
        </is>
      </c>
      <c r="F376" s="80" t="inlineStr">
        <is>
          <t>ALEXANDER MILLER</t>
        </is>
      </c>
      <c r="G376" s="80" t="inlineStr">
        <is>
          <t>ALEXANDER MILLER</t>
        </is>
      </c>
      <c r="H376" s="80" t="inlineStr">
        <is>
          <t>135-1</t>
        </is>
      </c>
      <c r="I376" s="111">
        <f>COUNTIF(Tower_3!G:G,'All Associates'!A376)+COUNTIF(Tower_4!G:G,'All Associates'!A376)+COUNTIF(Tower_5!G:G,'All Associates'!A376)+COUNTIF(Tower_6!G:G,'All Associates'!A376)+COUNTIF(Riviera_3!G:G,'All Associates'!A376)+COUNTIF(Riviera_4!G:G,'All Associates'!A376)+COUNTIF(Riviera_5!G:G,'All Associates'!A376)</f>
        <v/>
      </c>
      <c r="J376" s="112">
        <f>IF(I376=0,"Not Allocated",IF(I376=1,"Allocated","Duplicate"))</f>
        <v/>
      </c>
    </row>
    <row r="377" hidden="1">
      <c r="A377" s="83" t="n">
        <v>946</v>
      </c>
      <c r="B377" s="80" t="inlineStr">
        <is>
          <t>JOHN COLLINS</t>
        </is>
      </c>
      <c r="C377" s="80" t="inlineStr">
        <is>
          <t>Activ</t>
        </is>
      </c>
      <c r="D377" s="80" t="inlineStr">
        <is>
          <t>KATHRYN ABBOTT</t>
        </is>
      </c>
      <c r="E377" s="80" t="inlineStr">
        <is>
          <t>ALEXANDER MILLER</t>
        </is>
      </c>
      <c r="F377" s="80" t="inlineStr">
        <is>
          <t>KIMBERLY CLARK</t>
        </is>
      </c>
      <c r="G377" s="80" t="inlineStr">
        <is>
          <t>ALEXANDER MILLER</t>
        </is>
      </c>
      <c r="H377" s="80" t="inlineStr">
        <is>
          <t>135-1</t>
        </is>
      </c>
      <c r="I377" s="111">
        <f>COUNTIF(Tower_3!G:G,'All Associates'!A377)+COUNTIF(Tower_4!G:G,'All Associates'!A377)+COUNTIF(Tower_5!G:G,'All Associates'!A377)+COUNTIF(Tower_6!G:G,'All Associates'!A377)+COUNTIF(Riviera_3!G:G,'All Associates'!A377)+COUNTIF(Riviera_4!G:G,'All Associates'!A377)+COUNTIF(Riviera_5!G:G,'All Associates'!A377)</f>
        <v/>
      </c>
      <c r="J377" s="112">
        <f>IF(I377=0,"Not Allocated",IF(I377=1,"Allocated","Duplicate"))</f>
        <v/>
      </c>
    </row>
    <row r="378" hidden="1">
      <c r="A378" s="83" t="n">
        <v>539</v>
      </c>
      <c r="B378" s="80" t="inlineStr">
        <is>
          <t>MARCO MIRANDA</t>
        </is>
      </c>
      <c r="C378" s="80" t="inlineStr">
        <is>
          <t>Activ</t>
        </is>
      </c>
      <c r="D378" s="80" t="inlineStr">
        <is>
          <t>CHRISTINA CHUNG</t>
        </is>
      </c>
      <c r="E378" s="80" t="inlineStr">
        <is>
          <t>CURTIS BROWN JR.</t>
        </is>
      </c>
      <c r="F378" s="80" t="inlineStr">
        <is>
          <t>KIMBERLY CLARK</t>
        </is>
      </c>
      <c r="G378" s="80" t="inlineStr">
        <is>
          <t>CURTIS BROWN JR.</t>
        </is>
      </c>
      <c r="H378" s="80" t="inlineStr">
        <is>
          <t>220-1</t>
        </is>
      </c>
      <c r="I378" s="111">
        <f>COUNTIF(Tower_3!G:G,'All Associates'!A378)+COUNTIF(Tower_4!G:G,'All Associates'!A378)+COUNTIF(Tower_5!G:G,'All Associates'!A378)+COUNTIF(Tower_6!G:G,'All Associates'!A378)+COUNTIF(Riviera_3!G:G,'All Associates'!A378)+COUNTIF(Riviera_4!G:G,'All Associates'!A378)+COUNTIF(Riviera_5!G:G,'All Associates'!A378)</f>
        <v/>
      </c>
      <c r="J378" s="112">
        <f>IF(I378=0,"Not Allocated",IF(I378=1,"Allocated","Duplicate"))</f>
        <v/>
      </c>
    </row>
    <row r="379" hidden="1">
      <c r="A379" s="83" t="n">
        <v>231</v>
      </c>
      <c r="B379" s="80" t="inlineStr">
        <is>
          <t>JAMES HARRISON</t>
        </is>
      </c>
      <c r="C379" s="80" t="inlineStr">
        <is>
          <t>Activ</t>
        </is>
      </c>
      <c r="D379" s="80" t="inlineStr">
        <is>
          <t>STEPHANIE WEAVER</t>
        </is>
      </c>
      <c r="E379" s="80" t="inlineStr">
        <is>
          <t>MARISSA CROSS</t>
        </is>
      </c>
      <c r="F379" s="80" t="inlineStr">
        <is>
          <t>KIMBERLY CLARK</t>
        </is>
      </c>
      <c r="G379" s="80" t="inlineStr">
        <is>
          <t>MARISSA CROSS</t>
        </is>
      </c>
      <c r="H379" s="80" t="inlineStr">
        <is>
          <t>220-2</t>
        </is>
      </c>
      <c r="I379" s="111">
        <f>COUNTIF(Tower_3!G:G,'All Associates'!A379)+COUNTIF(Tower_4!G:G,'All Associates'!A379)+COUNTIF(Tower_5!G:G,'All Associates'!A379)+COUNTIF(Tower_6!G:G,'All Associates'!A379)+COUNTIF(Riviera_3!G:G,'All Associates'!A379)+COUNTIF(Riviera_4!G:G,'All Associates'!A379)+COUNTIF(Riviera_5!G:G,'All Associates'!A379)</f>
        <v/>
      </c>
      <c r="J379" s="112">
        <f>IF(I379=0,"Not Allocated",IF(I379=1,"Allocated","Duplicate"))</f>
        <v/>
      </c>
    </row>
    <row r="380" hidden="1">
      <c r="A380" s="83" t="n">
        <v>149</v>
      </c>
      <c r="B380" s="80" t="inlineStr">
        <is>
          <t>JOSHUA LAMBERT MD</t>
        </is>
      </c>
      <c r="C380" s="80" t="inlineStr">
        <is>
          <t>Activ</t>
        </is>
      </c>
      <c r="D380" s="80" t="inlineStr">
        <is>
          <t>OSCAR TYLER</t>
        </is>
      </c>
      <c r="E380" s="80" t="inlineStr">
        <is>
          <t>KENNETH CONRAD</t>
        </is>
      </c>
      <c r="F380" s="80" t="inlineStr">
        <is>
          <t>KIMBERLY CLARK</t>
        </is>
      </c>
      <c r="G380" s="80" t="inlineStr">
        <is>
          <t>KENNETH CONRAD</t>
        </is>
      </c>
      <c r="H380" s="80" t="inlineStr">
        <is>
          <t>127-1</t>
        </is>
      </c>
      <c r="I380" s="111">
        <f>COUNTIF(Tower_3!G:G,'All Associates'!A380)+COUNTIF(Tower_4!G:G,'All Associates'!A380)+COUNTIF(Tower_5!G:G,'All Associates'!A380)+COUNTIF(Tower_6!G:G,'All Associates'!A380)+COUNTIF(Riviera_3!G:G,'All Associates'!A380)+COUNTIF(Riviera_4!G:G,'All Associates'!A380)+COUNTIF(Riviera_5!G:G,'All Associates'!A380)</f>
        <v/>
      </c>
      <c r="J380" s="112">
        <f>IF(I380=0,"Not Allocated",IF(I380=1,"Allocated","Duplicate"))</f>
        <v/>
      </c>
    </row>
    <row r="381" hidden="1">
      <c r="A381" s="90" t="n">
        <v>327</v>
      </c>
      <c r="B381" s="91" t="inlineStr">
        <is>
          <t>HANNAH THOMAS</t>
        </is>
      </c>
      <c r="C381" s="91" t="inlineStr">
        <is>
          <t>Suspendat</t>
        </is>
      </c>
      <c r="D381" s="91" t="inlineStr">
        <is>
          <t>CHARLES POWELL</t>
        </is>
      </c>
      <c r="E381" s="91" t="inlineStr">
        <is>
          <t>KIMBERLY CLARK</t>
        </is>
      </c>
      <c r="F381" s="91" t="inlineStr">
        <is>
          <t>KIMBERLY CLARK</t>
        </is>
      </c>
      <c r="G381" s="91" t="inlineStr">
        <is>
          <t>CHARLES POWELL</t>
        </is>
      </c>
      <c r="H381" s="91" t="inlineStr">
        <is>
          <t>138-3</t>
        </is>
      </c>
      <c r="I381" s="111">
        <f>COUNTIF(Tower_3!G:G,'All Associates'!A381)+COUNTIF(Tower_4!G:G,'All Associates'!A381)+COUNTIF(Tower_5!G:G,'All Associates'!A381)+COUNTIF(Tower_6!G:G,'All Associates'!A381)+COUNTIF(Riviera_3!G:G,'All Associates'!A381)+COUNTIF(Riviera_4!G:G,'All Associates'!A381)+COUNTIF(Riviera_5!G:G,'All Associates'!A381)</f>
        <v/>
      </c>
      <c r="J381" s="112">
        <f>IF(I381=0,"Not Allocated",IF(I381=1,"Allocated","Duplicate"))</f>
        <v/>
      </c>
    </row>
    <row r="382" hidden="1">
      <c r="A382" s="83" t="n">
        <v>1071</v>
      </c>
      <c r="B382" s="80" t="inlineStr">
        <is>
          <t>CHELSEY CORDOVA</t>
        </is>
      </c>
      <c r="C382" s="80" t="inlineStr">
        <is>
          <t>Activ</t>
        </is>
      </c>
      <c r="D382" s="80" t="inlineStr">
        <is>
          <t>BETH TUCKER</t>
        </is>
      </c>
      <c r="E382" s="80" t="inlineStr">
        <is>
          <t>KIMBERLY CLARK</t>
        </is>
      </c>
      <c r="F382" s="80" t="inlineStr">
        <is>
          <t>KIMBERLY CLARK</t>
        </is>
      </c>
      <c r="G382" s="80" t="inlineStr">
        <is>
          <t>KIMBERLY CLARK</t>
        </is>
      </c>
      <c r="H382" s="80" t="inlineStr">
        <is>
          <t>156-2</t>
        </is>
      </c>
      <c r="I382" s="111">
        <f>COUNTIF(Tower_3!G:G,'All Associates'!A382)+COUNTIF(Tower_4!G:G,'All Associates'!A382)+COUNTIF(Tower_5!G:G,'All Associates'!A382)+COUNTIF(Tower_6!G:G,'All Associates'!A382)+COUNTIF(Riviera_3!G:G,'All Associates'!A382)+COUNTIF(Riviera_4!G:G,'All Associates'!A382)+COUNTIF(Riviera_5!G:G,'All Associates'!A382)</f>
        <v/>
      </c>
      <c r="J382" s="112">
        <f>IF(I382=0,"Not Allocated",IF(I382=1,"Allocated","Duplicate"))</f>
        <v/>
      </c>
    </row>
    <row r="383" hidden="1">
      <c r="A383" s="83" t="n">
        <v>1171</v>
      </c>
      <c r="B383" s="80" t="inlineStr">
        <is>
          <t>BRYAN DUFFY</t>
        </is>
      </c>
      <c r="C383" s="80" t="inlineStr">
        <is>
          <t>Activ</t>
        </is>
      </c>
      <c r="D383" s="80" t="inlineStr">
        <is>
          <t>LOUIS PETERSEN</t>
        </is>
      </c>
      <c r="E383" s="80" t="inlineStr">
        <is>
          <t>KENNETH CONRAD</t>
        </is>
      </c>
      <c r="F383" s="80" t="inlineStr">
        <is>
          <t>KIMBERLY CLARK</t>
        </is>
      </c>
      <c r="G383" s="80" t="inlineStr">
        <is>
          <t>KENNETH CONRAD</t>
        </is>
      </c>
      <c r="H383" s="80" t="inlineStr">
        <is>
          <t>127-1</t>
        </is>
      </c>
      <c r="I383" s="111">
        <f>COUNTIF(Tower_3!G:G,'All Associates'!A383)+COUNTIF(Tower_4!G:G,'All Associates'!A383)+COUNTIF(Tower_5!G:G,'All Associates'!A383)+COUNTIF(Tower_6!G:G,'All Associates'!A383)+COUNTIF(Riviera_3!G:G,'All Associates'!A383)+COUNTIF(Riviera_4!G:G,'All Associates'!A383)+COUNTIF(Riviera_5!G:G,'All Associates'!A383)</f>
        <v/>
      </c>
      <c r="J383" s="112">
        <f>IF(I383=0,"Not Allocated",IF(I383=1,"Allocated","Duplicate"))</f>
        <v/>
      </c>
    </row>
    <row r="384" hidden="1">
      <c r="A384" s="83" t="n">
        <v>980</v>
      </c>
      <c r="B384" s="80" t="inlineStr">
        <is>
          <t>ROBERT GRAVES</t>
        </is>
      </c>
      <c r="C384" s="80" t="inlineStr">
        <is>
          <t>Activ</t>
        </is>
      </c>
      <c r="D384" s="80" t="inlineStr">
        <is>
          <t>STEPHANIE HANSEN</t>
        </is>
      </c>
      <c r="E384" s="80" t="inlineStr">
        <is>
          <t>HEATHER SOLIS</t>
        </is>
      </c>
      <c r="F384" s="80" t="inlineStr">
        <is>
          <t>KIMBERLY CLARK</t>
        </is>
      </c>
      <c r="G384" s="80" t="inlineStr">
        <is>
          <t>HEATHER SOLIS</t>
        </is>
      </c>
      <c r="H384" s="80" t="inlineStr">
        <is>
          <t>138-1</t>
        </is>
      </c>
      <c r="I384" s="111">
        <f>COUNTIF(Tower_3!G:G,'All Associates'!A384)+COUNTIF(Tower_4!G:G,'All Associates'!A384)+COUNTIF(Tower_5!G:G,'All Associates'!A384)+COUNTIF(Tower_6!G:G,'All Associates'!A384)+COUNTIF(Riviera_3!G:G,'All Associates'!A384)+COUNTIF(Riviera_4!G:G,'All Associates'!A384)+COUNTIF(Riviera_5!G:G,'All Associates'!A384)</f>
        <v/>
      </c>
      <c r="J384" s="112">
        <f>IF(I384=0,"Not Allocated",IF(I384=1,"Allocated","Duplicate"))</f>
        <v/>
      </c>
    </row>
    <row r="385" hidden="1">
      <c r="A385" s="83" t="n">
        <v>1211</v>
      </c>
      <c r="B385" s="80" t="inlineStr">
        <is>
          <t>NATHANIEL WASHINGTON</t>
        </is>
      </c>
      <c r="C385" s="80" t="inlineStr">
        <is>
          <t>Activ</t>
        </is>
      </c>
      <c r="D385" s="80" t="inlineStr">
        <is>
          <t>MARISSA CROSS</t>
        </is>
      </c>
      <c r="E385" s="80" t="inlineStr">
        <is>
          <t>KIMBERLY CLARK</t>
        </is>
      </c>
      <c r="F385" s="80" t="inlineStr">
        <is>
          <t>KIMBERLY CLARK</t>
        </is>
      </c>
      <c r="G385" s="80" t="inlineStr">
        <is>
          <t>MARISSA CROSS</t>
        </is>
      </c>
      <c r="H385" s="80" t="inlineStr">
        <is>
          <t>220-2</t>
        </is>
      </c>
      <c r="I385" s="111">
        <f>COUNTIF(Tower_3!G:G,'All Associates'!A385)+COUNTIF(Tower_4!G:G,'All Associates'!A385)+COUNTIF(Tower_5!G:G,'All Associates'!A385)+COUNTIF(Tower_6!G:G,'All Associates'!A385)+COUNTIF(Riviera_3!G:G,'All Associates'!A385)+COUNTIF(Riviera_4!G:G,'All Associates'!A385)+COUNTIF(Riviera_5!G:G,'All Associates'!A385)</f>
        <v/>
      </c>
      <c r="J385" s="112">
        <f>IF(I385=0,"Not Allocated",IF(I385=1,"Allocated","Duplicate"))</f>
        <v/>
      </c>
    </row>
    <row r="386" hidden="1">
      <c r="A386" s="83" t="n">
        <v>1085</v>
      </c>
      <c r="B386" s="80" t="inlineStr">
        <is>
          <t>TAMARA BROCK</t>
        </is>
      </c>
      <c r="C386" s="80" t="inlineStr">
        <is>
          <t>Activ</t>
        </is>
      </c>
      <c r="D386" s="80" t="inlineStr">
        <is>
          <t>BETH TUCKER</t>
        </is>
      </c>
      <c r="E386" s="80" t="inlineStr">
        <is>
          <t>KIMBERLY CLARK</t>
        </is>
      </c>
      <c r="F386" s="80" t="inlineStr">
        <is>
          <t>KIMBERLY CLARK</t>
        </is>
      </c>
      <c r="G386" s="80" t="inlineStr">
        <is>
          <t>KIMBERLY CLARK</t>
        </is>
      </c>
      <c r="H386" s="80" t="inlineStr">
        <is>
          <t>156-2</t>
        </is>
      </c>
      <c r="I386" s="111">
        <f>COUNTIF(Tower_3!G:G,'All Associates'!A386)+COUNTIF(Tower_4!G:G,'All Associates'!A386)+COUNTIF(Tower_5!G:G,'All Associates'!A386)+COUNTIF(Tower_6!G:G,'All Associates'!A386)+COUNTIF(Riviera_3!G:G,'All Associates'!A386)+COUNTIF(Riviera_4!G:G,'All Associates'!A386)+COUNTIF(Riviera_5!G:G,'All Associates'!A386)</f>
        <v/>
      </c>
      <c r="J386" s="112">
        <f>IF(I386=0,"Not Allocated",IF(I386=1,"Allocated","Duplicate"))</f>
        <v/>
      </c>
    </row>
    <row r="387" hidden="1">
      <c r="A387" s="83" t="n">
        <v>566</v>
      </c>
      <c r="B387" s="80" t="inlineStr">
        <is>
          <t>RANDALL REED</t>
        </is>
      </c>
      <c r="C387" s="80" t="inlineStr">
        <is>
          <t>Activ</t>
        </is>
      </c>
      <c r="D387" s="80" t="inlineStr">
        <is>
          <t>KENNETH DOUGHERTY</t>
        </is>
      </c>
      <c r="E387" s="80" t="inlineStr">
        <is>
          <t>CHELSEA CAMPBELL</t>
        </is>
      </c>
      <c r="F387" s="80" t="inlineStr">
        <is>
          <t>KENNETH CONRAD</t>
        </is>
      </c>
      <c r="G387" s="80" t="inlineStr">
        <is>
          <t>KENNETH CONRAD</t>
        </is>
      </c>
      <c r="H387" s="80" t="inlineStr">
        <is>
          <t>153-1</t>
        </is>
      </c>
      <c r="I387" s="111">
        <f>COUNTIF(Tower_3!G:G,'All Associates'!A387)+COUNTIF(Tower_4!G:G,'All Associates'!A387)+COUNTIF(Tower_5!G:G,'All Associates'!A387)+COUNTIF(Tower_6!G:G,'All Associates'!A387)+COUNTIF(Riviera_3!G:G,'All Associates'!A387)+COUNTIF(Riviera_4!G:G,'All Associates'!A387)+COUNTIF(Riviera_5!G:G,'All Associates'!A387)</f>
        <v/>
      </c>
      <c r="J387" s="112">
        <f>IF(I387=0,"Not Allocated",IF(I387=1,"Allocated","Duplicate"))</f>
        <v/>
      </c>
    </row>
    <row r="388" hidden="1">
      <c r="A388" s="83" t="n">
        <v>728</v>
      </c>
      <c r="B388" s="80" t="inlineStr">
        <is>
          <t>TIMOTHY BROWN</t>
        </is>
      </c>
      <c r="C388" s="80" t="inlineStr">
        <is>
          <t>Activ</t>
        </is>
      </c>
      <c r="D388" s="80" t="inlineStr">
        <is>
          <t>KAREN HENDERSON</t>
        </is>
      </c>
      <c r="E388" s="80" t="inlineStr">
        <is>
          <t>BETH TUCKER</t>
        </is>
      </c>
      <c r="F388" s="80" t="inlineStr">
        <is>
          <t>KIMBERLY CLARK</t>
        </is>
      </c>
      <c r="G388" s="80" t="inlineStr">
        <is>
          <t>KIMBERLY CLARK</t>
        </is>
      </c>
      <c r="H388" s="80" t="inlineStr">
        <is>
          <t>156-2</t>
        </is>
      </c>
      <c r="I388" s="111">
        <f>COUNTIF(Tower_3!G:G,'All Associates'!A388)+COUNTIF(Tower_4!G:G,'All Associates'!A388)+COUNTIF(Tower_5!G:G,'All Associates'!A388)+COUNTIF(Tower_6!G:G,'All Associates'!A388)+COUNTIF(Riviera_3!G:G,'All Associates'!A388)+COUNTIF(Riviera_4!G:G,'All Associates'!A388)+COUNTIF(Riviera_5!G:G,'All Associates'!A388)</f>
        <v/>
      </c>
      <c r="J388" s="112">
        <f>IF(I388=0,"Not Allocated",IF(I388=1,"Allocated","Duplicate"))</f>
        <v/>
      </c>
    </row>
    <row r="389" hidden="1">
      <c r="A389" s="83" t="n">
        <v>1036</v>
      </c>
      <c r="B389" s="80" t="inlineStr">
        <is>
          <t>VANESSA THOMAS</t>
        </is>
      </c>
      <c r="C389" s="80" t="inlineStr">
        <is>
          <t>Activ</t>
        </is>
      </c>
      <c r="D389" s="80" t="inlineStr">
        <is>
          <t>JAMES EDWARDS</t>
        </is>
      </c>
      <c r="E389" s="80" t="inlineStr">
        <is>
          <t>DR. DIANA CARROLL</t>
        </is>
      </c>
      <c r="F389" s="80" t="inlineStr">
        <is>
          <t>HEATHER SOLIS</t>
        </is>
      </c>
      <c r="G389" s="80" t="inlineStr">
        <is>
          <t>HEATHER SOLIS</t>
        </is>
      </c>
      <c r="H389" s="80" t="inlineStr">
        <is>
          <t>138-1</t>
        </is>
      </c>
      <c r="I389" s="111">
        <f>COUNTIF(Tower_3!G:G,'All Associates'!A389)+COUNTIF(Tower_4!G:G,'All Associates'!A389)+COUNTIF(Tower_5!G:G,'All Associates'!A389)+COUNTIF(Tower_6!G:G,'All Associates'!A389)+COUNTIF(Riviera_3!G:G,'All Associates'!A389)+COUNTIF(Riviera_4!G:G,'All Associates'!A389)+COUNTIF(Riviera_5!G:G,'All Associates'!A389)</f>
        <v/>
      </c>
      <c r="J389" s="112">
        <f>IF(I389=0,"Not Allocated",IF(I389=1,"Allocated","Duplicate"))</f>
        <v/>
      </c>
    </row>
    <row r="390" hidden="1">
      <c r="A390" s="83" t="n">
        <v>355</v>
      </c>
      <c r="B390" s="80" t="inlineStr">
        <is>
          <t>RICHARD PATTERSON</t>
        </is>
      </c>
      <c r="C390" s="80" t="inlineStr">
        <is>
          <t>Activ</t>
        </is>
      </c>
      <c r="D390" s="80" t="inlineStr">
        <is>
          <t>ROBERT MUELLER</t>
        </is>
      </c>
      <c r="E390" s="80" t="inlineStr">
        <is>
          <t>CHAD PEREZ</t>
        </is>
      </c>
      <c r="F390" s="80" t="inlineStr">
        <is>
          <t>MARISSA CROSS</t>
        </is>
      </c>
      <c r="G390" s="80" t="inlineStr">
        <is>
          <t>MARISSA CROSS</t>
        </is>
      </c>
      <c r="H390" s="80" t="inlineStr">
        <is>
          <t>220-2</t>
        </is>
      </c>
      <c r="I390" s="111">
        <f>COUNTIF(Tower_3!G:G,'All Associates'!A390)+COUNTIF(Tower_4!G:G,'All Associates'!A390)+COUNTIF(Tower_5!G:G,'All Associates'!A390)+COUNTIF(Tower_6!G:G,'All Associates'!A390)+COUNTIF(Riviera_3!G:G,'All Associates'!A390)+COUNTIF(Riviera_4!G:G,'All Associates'!A390)+COUNTIF(Riviera_5!G:G,'All Associates'!A390)</f>
        <v/>
      </c>
      <c r="J390" s="112">
        <f>IF(I390=0,"Not Allocated",IF(I390=1,"Allocated","Duplicate"))</f>
        <v/>
      </c>
    </row>
    <row r="391" hidden="1">
      <c r="A391" s="83" t="n">
        <v>1018</v>
      </c>
      <c r="B391" s="80" t="inlineStr">
        <is>
          <t>ANDREA HATFIELD</t>
        </is>
      </c>
      <c r="C391" s="80" t="inlineStr">
        <is>
          <t>Activ</t>
        </is>
      </c>
      <c r="D391" s="80" t="inlineStr">
        <is>
          <t>JORDAN MARQUEZ</t>
        </is>
      </c>
      <c r="E391" s="80" t="inlineStr">
        <is>
          <t>JEFFREY JONES</t>
        </is>
      </c>
      <c r="F391" s="80" t="inlineStr">
        <is>
          <t>NATHAN HAMILTON</t>
        </is>
      </c>
      <c r="G391" s="80" t="inlineStr">
        <is>
          <t>NATHAN HAMILTON</t>
        </is>
      </c>
      <c r="H391" s="80" t="inlineStr">
        <is>
          <t>221-1</t>
        </is>
      </c>
      <c r="I391" s="111">
        <f>COUNTIF(Tower_3!G:G,'All Associates'!A391)+COUNTIF(Tower_4!G:G,'All Associates'!A391)+COUNTIF(Tower_5!G:G,'All Associates'!A391)+COUNTIF(Tower_6!G:G,'All Associates'!A391)+COUNTIF(Riviera_3!G:G,'All Associates'!A391)+COUNTIF(Riviera_4!G:G,'All Associates'!A391)+COUNTIF(Riviera_5!G:G,'All Associates'!A391)</f>
        <v/>
      </c>
      <c r="J391" s="112">
        <f>IF(I391=0,"Not Allocated",IF(I391=1,"Allocated","Duplicate"))</f>
        <v/>
      </c>
    </row>
    <row r="392" hidden="1">
      <c r="A392" s="83" t="n">
        <v>867</v>
      </c>
      <c r="B392" s="80" t="inlineStr">
        <is>
          <t>DENNIS THOMPSON</t>
        </is>
      </c>
      <c r="C392" s="80" t="inlineStr">
        <is>
          <t>Activ</t>
        </is>
      </c>
      <c r="D392" s="80" t="inlineStr">
        <is>
          <t>STEPHANIE WEAVER</t>
        </is>
      </c>
      <c r="E392" s="80" t="inlineStr">
        <is>
          <t>MARISSA CROSS</t>
        </is>
      </c>
      <c r="F392" s="80" t="inlineStr">
        <is>
          <t>KIMBERLY CLARK</t>
        </is>
      </c>
      <c r="G392" s="80" t="inlineStr">
        <is>
          <t>MARISSA CROSS</t>
        </is>
      </c>
      <c r="H392" s="80" t="inlineStr">
        <is>
          <t>220-2</t>
        </is>
      </c>
      <c r="I392" s="111">
        <f>COUNTIF(Tower_3!G:G,'All Associates'!A392)+COUNTIF(Tower_4!G:G,'All Associates'!A392)+COUNTIF(Tower_5!G:G,'All Associates'!A392)+COUNTIF(Tower_6!G:G,'All Associates'!A392)+COUNTIF(Riviera_3!G:G,'All Associates'!A392)+COUNTIF(Riviera_4!G:G,'All Associates'!A392)+COUNTIF(Riviera_5!G:G,'All Associates'!A392)</f>
        <v/>
      </c>
      <c r="J392" s="112">
        <f>IF(I392=0,"Not Allocated",IF(I392=1,"Allocated","Duplicate"))</f>
        <v/>
      </c>
    </row>
    <row r="393" hidden="1">
      <c r="A393" s="83" t="n">
        <v>314</v>
      </c>
      <c r="B393" s="80" t="inlineStr">
        <is>
          <t>MONIQUE BOYD</t>
        </is>
      </c>
      <c r="C393" s="80" t="inlineStr">
        <is>
          <t>Activ</t>
        </is>
      </c>
      <c r="D393" s="80" t="inlineStr">
        <is>
          <t>NICOLAS GUTIERREZ</t>
        </is>
      </c>
      <c r="E393" s="80" t="inlineStr">
        <is>
          <t>JOHN SCOTT DDS</t>
        </is>
      </c>
      <c r="F393" s="80" t="inlineStr">
        <is>
          <t>ADAM SMITH</t>
        </is>
      </c>
      <c r="G393" s="80" t="inlineStr">
        <is>
          <t>PHILLIP TRAVIS</t>
        </is>
      </c>
      <c r="H393" s="80" t="inlineStr">
        <is>
          <t>156-1</t>
        </is>
      </c>
      <c r="I393" s="111">
        <f>COUNTIF(Tower_3!G:G,'All Associates'!A393)+COUNTIF(Tower_4!G:G,'All Associates'!A393)+COUNTIF(Tower_5!G:G,'All Associates'!A393)+COUNTIF(Tower_6!G:G,'All Associates'!A393)+COUNTIF(Riviera_3!G:G,'All Associates'!A393)+COUNTIF(Riviera_4!G:G,'All Associates'!A393)+COUNTIF(Riviera_5!G:G,'All Associates'!A393)</f>
        <v/>
      </c>
      <c r="J393" s="112">
        <f>IF(I393=0,"Not Allocated",IF(I393=1,"Allocated","Duplicate"))</f>
        <v/>
      </c>
    </row>
    <row r="394" hidden="1">
      <c r="A394" s="83" t="n">
        <v>670</v>
      </c>
      <c r="B394" s="80" t="inlineStr">
        <is>
          <t>SHERYL BAUTISTA</t>
        </is>
      </c>
      <c r="C394" s="80" t="inlineStr">
        <is>
          <t>Activ</t>
        </is>
      </c>
      <c r="D394" s="80" t="inlineStr">
        <is>
          <t>GARRETT PARKER</t>
        </is>
      </c>
      <c r="E394" s="80" t="inlineStr">
        <is>
          <t>ASHLEY FRENCH</t>
        </is>
      </c>
      <c r="F394" s="80" t="inlineStr">
        <is>
          <t>PHILLIP TRAVIS</t>
        </is>
      </c>
      <c r="G394" s="80" t="inlineStr">
        <is>
          <t>PHILLIP TRAVIS</t>
        </is>
      </c>
      <c r="H394" s="80" t="inlineStr">
        <is>
          <t>156-1</t>
        </is>
      </c>
      <c r="I394" s="111">
        <f>COUNTIF(Tower_3!G:G,'All Associates'!A394)+COUNTIF(Tower_4!G:G,'All Associates'!A394)+COUNTIF(Tower_5!G:G,'All Associates'!A394)+COUNTIF(Tower_6!G:G,'All Associates'!A394)+COUNTIF(Riviera_3!G:G,'All Associates'!A394)+COUNTIF(Riviera_4!G:G,'All Associates'!A394)+COUNTIF(Riviera_5!G:G,'All Associates'!A394)</f>
        <v/>
      </c>
      <c r="J394" s="112">
        <f>IF(I394=0,"Not Allocated",IF(I394=1,"Allocated","Duplicate"))</f>
        <v/>
      </c>
    </row>
    <row r="395" hidden="1">
      <c r="A395" s="83" t="n">
        <v>951</v>
      </c>
      <c r="B395" s="80" t="inlineStr">
        <is>
          <t>BRIANNA SINGLETON</t>
        </is>
      </c>
      <c r="C395" s="80" t="inlineStr">
        <is>
          <t>Activ</t>
        </is>
      </c>
      <c r="D395" s="80" t="inlineStr">
        <is>
          <t>JULIE SANCHEZ</t>
        </is>
      </c>
      <c r="E395" s="80" t="inlineStr">
        <is>
          <t>LARRY KIM</t>
        </is>
      </c>
      <c r="F395" s="80" t="inlineStr">
        <is>
          <t>KENNETH CONRAD</t>
        </is>
      </c>
      <c r="G395" s="80" t="inlineStr">
        <is>
          <t>KENNETH CONRAD</t>
        </is>
      </c>
      <c r="H395" s="80" t="inlineStr">
        <is>
          <t>127-1</t>
        </is>
      </c>
      <c r="I395" s="111">
        <f>COUNTIF(Tower_3!G:G,'All Associates'!A395)+COUNTIF(Tower_4!G:G,'All Associates'!A395)+COUNTIF(Tower_5!G:G,'All Associates'!A395)+COUNTIF(Tower_6!G:G,'All Associates'!A395)+COUNTIF(Riviera_3!G:G,'All Associates'!A395)+COUNTIF(Riviera_4!G:G,'All Associates'!A395)+COUNTIF(Riviera_5!G:G,'All Associates'!A395)</f>
        <v/>
      </c>
      <c r="J395" s="112">
        <f>IF(I395=0,"Not Allocated",IF(I395=1,"Allocated","Duplicate"))</f>
        <v/>
      </c>
    </row>
    <row r="396" hidden="1">
      <c r="A396" s="83" t="n">
        <v>1151</v>
      </c>
      <c r="B396" s="80" t="inlineStr">
        <is>
          <t>BLAKE HARRIS</t>
        </is>
      </c>
      <c r="C396" s="80" t="inlineStr">
        <is>
          <t>Activ</t>
        </is>
      </c>
      <c r="D396" s="80" t="inlineStr">
        <is>
          <t>BRAD COOLEY</t>
        </is>
      </c>
      <c r="E396" s="80" t="inlineStr">
        <is>
          <t>MR. MICHAEL KELLY</t>
        </is>
      </c>
      <c r="F396" s="80" t="inlineStr">
        <is>
          <t>HEATHER SOLIS</t>
        </is>
      </c>
      <c r="G396" s="80" t="inlineStr">
        <is>
          <t>HEATHER SOLIS</t>
        </is>
      </c>
      <c r="H396" s="80" t="inlineStr">
        <is>
          <t>138-2</t>
        </is>
      </c>
      <c r="I396" s="111">
        <f>COUNTIF(Tower_3!G:G,'All Associates'!A396)+COUNTIF(Tower_4!G:G,'All Associates'!A396)+COUNTIF(Tower_5!G:G,'All Associates'!A396)+COUNTIF(Tower_6!G:G,'All Associates'!A396)+COUNTIF(Riviera_3!G:G,'All Associates'!A396)+COUNTIF(Riviera_4!G:G,'All Associates'!A396)+COUNTIF(Riviera_5!G:G,'All Associates'!A396)</f>
        <v/>
      </c>
      <c r="J396" s="112">
        <f>IF(I396=0,"Not Allocated",IF(I396=1,"Allocated","Duplicate"))</f>
        <v/>
      </c>
    </row>
    <row r="397" hidden="1">
      <c r="A397" s="83" t="n">
        <v>562</v>
      </c>
      <c r="B397" s="80" t="inlineStr">
        <is>
          <t>JACOB ROSE</t>
        </is>
      </c>
      <c r="C397" s="80" t="inlineStr">
        <is>
          <t>Activ</t>
        </is>
      </c>
      <c r="D397" s="80" t="inlineStr">
        <is>
          <t>MARISSA CROSS</t>
        </is>
      </c>
      <c r="E397" s="80" t="inlineStr">
        <is>
          <t>KIMBERLY CLARK</t>
        </is>
      </c>
      <c r="F397" s="80" t="inlineStr">
        <is>
          <t>KIMBERLY CLARK</t>
        </is>
      </c>
      <c r="G397" s="80" t="inlineStr">
        <is>
          <t>MARISSA CROSS</t>
        </is>
      </c>
      <c r="H397" s="80" t="inlineStr">
        <is>
          <t>220-2</t>
        </is>
      </c>
      <c r="I397" s="111">
        <f>COUNTIF(Tower_3!G:G,'All Associates'!A397)+COUNTIF(Tower_4!G:G,'All Associates'!A397)+COUNTIF(Tower_5!G:G,'All Associates'!A397)+COUNTIF(Tower_6!G:G,'All Associates'!A397)+COUNTIF(Riviera_3!G:G,'All Associates'!A397)+COUNTIF(Riviera_4!G:G,'All Associates'!A397)+COUNTIF(Riviera_5!G:G,'All Associates'!A397)</f>
        <v/>
      </c>
      <c r="J397" s="112">
        <f>IF(I397=0,"Not Allocated",IF(I397=1,"Allocated","Duplicate"))</f>
        <v/>
      </c>
    </row>
    <row r="398" hidden="1">
      <c r="A398" s="83" t="n">
        <v>932</v>
      </c>
      <c r="B398" s="80" t="inlineStr">
        <is>
          <t>JENNIFER CHURCH</t>
        </is>
      </c>
      <c r="C398" s="80" t="inlineStr">
        <is>
          <t>Activ</t>
        </is>
      </c>
      <c r="D398" s="80" t="inlineStr">
        <is>
          <t>DOROTHY MARSHALL</t>
        </is>
      </c>
      <c r="E398" s="80" t="inlineStr">
        <is>
          <t>KIMBERLY CLARK</t>
        </is>
      </c>
      <c r="F398" s="80" t="inlineStr">
        <is>
          <t>KIMBERLY CLARK</t>
        </is>
      </c>
      <c r="G398" s="80" t="inlineStr">
        <is>
          <t>KIMBERLY CLARK</t>
        </is>
      </c>
      <c r="H398" s="80" t="inlineStr">
        <is>
          <t>230-1</t>
        </is>
      </c>
      <c r="I398" s="111">
        <f>COUNTIF(Tower_3!G:G,'All Associates'!A398)+COUNTIF(Tower_4!G:G,'All Associates'!A398)+COUNTIF(Tower_5!G:G,'All Associates'!A398)+COUNTIF(Tower_6!G:G,'All Associates'!A398)+COUNTIF(Riviera_3!G:G,'All Associates'!A398)+COUNTIF(Riviera_4!G:G,'All Associates'!A398)+COUNTIF(Riviera_5!G:G,'All Associates'!A398)</f>
        <v/>
      </c>
      <c r="J398" s="112">
        <f>IF(I398=0,"Not Allocated",IF(I398=1,"Allocated","Duplicate"))</f>
        <v/>
      </c>
    </row>
    <row r="399" hidden="1">
      <c r="A399" s="83" t="n">
        <v>1097</v>
      </c>
      <c r="B399" s="80" t="inlineStr">
        <is>
          <t>BRITTANY HUERTA</t>
        </is>
      </c>
      <c r="C399" s="80" t="inlineStr">
        <is>
          <t>Activ</t>
        </is>
      </c>
      <c r="D399" s="80" t="inlineStr">
        <is>
          <t>DIANE PETERSEN</t>
        </is>
      </c>
      <c r="E399" s="80" t="inlineStr">
        <is>
          <t>DR. DIANA CARROLL</t>
        </is>
      </c>
      <c r="F399" s="80" t="inlineStr">
        <is>
          <t>HEATHER SOLIS</t>
        </is>
      </c>
      <c r="G399" s="80" t="inlineStr">
        <is>
          <t>HEATHER SOLIS</t>
        </is>
      </c>
      <c r="H399" s="80" t="inlineStr">
        <is>
          <t>138-1</t>
        </is>
      </c>
      <c r="I399" s="111">
        <f>COUNTIF(Tower_3!G:G,'All Associates'!A399)+COUNTIF(Tower_4!G:G,'All Associates'!A399)+COUNTIF(Tower_5!G:G,'All Associates'!A399)+COUNTIF(Tower_6!G:G,'All Associates'!A399)+COUNTIF(Riviera_3!G:G,'All Associates'!A399)+COUNTIF(Riviera_4!G:G,'All Associates'!A399)+COUNTIF(Riviera_5!G:G,'All Associates'!A399)</f>
        <v/>
      </c>
      <c r="J399" s="112">
        <f>IF(I399=0,"Not Allocated",IF(I399=1,"Allocated","Duplicate"))</f>
        <v/>
      </c>
    </row>
    <row r="400" hidden="1">
      <c r="A400" s="83" t="n">
        <v>675</v>
      </c>
      <c r="B400" s="80" t="inlineStr">
        <is>
          <t>SHANNON HOUSTON</t>
        </is>
      </c>
      <c r="C400" s="80" t="inlineStr">
        <is>
          <t>Activ</t>
        </is>
      </c>
      <c r="D400" s="80" t="inlineStr">
        <is>
          <t>KENNETH CONRAD</t>
        </is>
      </c>
      <c r="E400" s="80" t="inlineStr">
        <is>
          <t>KIMBERLY CLARK</t>
        </is>
      </c>
      <c r="F400" s="80" t="inlineStr">
        <is>
          <t>KIMBERLY CLARK</t>
        </is>
      </c>
      <c r="G400" s="80" t="inlineStr">
        <is>
          <t>KENNETH CONRAD</t>
        </is>
      </c>
      <c r="H400" s="80" t="inlineStr">
        <is>
          <t>133-1</t>
        </is>
      </c>
      <c r="I400" s="111">
        <f>COUNTIF(Tower_3!G:G,'All Associates'!A400)+COUNTIF(Tower_4!G:G,'All Associates'!A400)+COUNTIF(Tower_5!G:G,'All Associates'!A400)+COUNTIF(Tower_6!G:G,'All Associates'!A400)+COUNTIF(Riviera_3!G:G,'All Associates'!A400)+COUNTIF(Riviera_4!G:G,'All Associates'!A400)+COUNTIF(Riviera_5!G:G,'All Associates'!A400)</f>
        <v/>
      </c>
      <c r="J400" s="112">
        <f>IF(I400=0,"Not Allocated",IF(I400=1,"Allocated","Duplicate"))</f>
        <v/>
      </c>
    </row>
    <row r="401">
      <c r="A401" s="90" t="n">
        <v>607</v>
      </c>
      <c r="B401" s="91" t="inlineStr">
        <is>
          <t>JASON SELLERS</t>
        </is>
      </c>
      <c r="C401" s="91" t="inlineStr">
        <is>
          <t>Activ</t>
        </is>
      </c>
      <c r="D401" s="91" t="inlineStr">
        <is>
          <t>KIMBERLY SULLIVAN</t>
        </is>
      </c>
      <c r="E401" s="91" t="inlineStr">
        <is>
          <t>MR. MICHAEL KELLY</t>
        </is>
      </c>
      <c r="F401" s="91" t="inlineStr">
        <is>
          <t>HEATHER SOLIS</t>
        </is>
      </c>
      <c r="G401" s="91" t="inlineStr">
        <is>
          <t>HEATHER SOLIS</t>
        </is>
      </c>
      <c r="H401" s="91" t="inlineStr">
        <is>
          <t>138-2</t>
        </is>
      </c>
      <c r="I401" s="111">
        <f>COUNTIF(Tower_3!G:G,'All Associates'!A401)+COUNTIF(Tower_4!G:G,'All Associates'!A401)+COUNTIF(Tower_5!G:G,'All Associates'!A401)+COUNTIF(Tower_6!G:G,'All Associates'!A401)+COUNTIF(Riviera_3!G:G,'All Associates'!A401)+COUNTIF(Riviera_4!G:G,'All Associates'!A401)+COUNTIF(Riviera_5!G:G,'All Associates'!A401)</f>
        <v/>
      </c>
      <c r="J401" s="112">
        <f>IF(I401=0,"Not Allocated",IF(I401=1,"Allocated","Duplicate"))</f>
        <v/>
      </c>
    </row>
    <row r="402" hidden="1">
      <c r="A402" s="83" t="n">
        <v>585</v>
      </c>
      <c r="B402" s="80" t="inlineStr">
        <is>
          <t>MICHAEL MILLER</t>
        </is>
      </c>
      <c r="C402" s="80" t="inlineStr">
        <is>
          <t>Activ</t>
        </is>
      </c>
      <c r="D402" s="80" t="inlineStr">
        <is>
          <t>PHILLIP TRAVIS</t>
        </is>
      </c>
      <c r="E402" s="80" t="inlineStr">
        <is>
          <t>KIMBERLY CLARK</t>
        </is>
      </c>
      <c r="F402" s="80" t="inlineStr">
        <is>
          <t>KIMBERLY CLARK</t>
        </is>
      </c>
      <c r="G402" s="80" t="inlineStr">
        <is>
          <t>PHILLIP TRAVIS</t>
        </is>
      </c>
      <c r="H402" s="80" t="inlineStr">
        <is>
          <t>156-1</t>
        </is>
      </c>
      <c r="I402" s="111">
        <f>COUNTIF(Tower_3!G:G,'All Associates'!A402)+COUNTIF(Tower_4!G:G,'All Associates'!A402)+COUNTIF(Tower_5!G:G,'All Associates'!A402)+COUNTIF(Tower_6!G:G,'All Associates'!A402)+COUNTIF(Riviera_3!G:G,'All Associates'!A402)+COUNTIF(Riviera_4!G:G,'All Associates'!A402)+COUNTIF(Riviera_5!G:G,'All Associates'!A402)</f>
        <v/>
      </c>
      <c r="J402" s="112">
        <f>IF(I402=0,"Not Allocated",IF(I402=1,"Allocated","Duplicate"))</f>
        <v/>
      </c>
    </row>
    <row r="403" hidden="1">
      <c r="A403" s="83" t="n">
        <v>1155</v>
      </c>
      <c r="B403" s="80" t="inlineStr">
        <is>
          <t>MARIA WILLIAMS</t>
        </is>
      </c>
      <c r="C403" s="80" t="inlineStr">
        <is>
          <t>Activ</t>
        </is>
      </c>
      <c r="D403" s="80" t="inlineStr">
        <is>
          <t>LISA KIM</t>
        </is>
      </c>
      <c r="E403" s="80" t="inlineStr">
        <is>
          <t>OSCAR TYLER</t>
        </is>
      </c>
      <c r="F403" s="80" t="inlineStr">
        <is>
          <t>KENNETH CONRAD</t>
        </is>
      </c>
      <c r="G403" s="80" t="inlineStr">
        <is>
          <t>KENNETH CONRAD</t>
        </is>
      </c>
      <c r="H403" s="80" t="inlineStr">
        <is>
          <t>127-1</t>
        </is>
      </c>
      <c r="I403" s="111">
        <f>COUNTIF(Tower_3!G:G,'All Associates'!A403)+COUNTIF(Tower_4!G:G,'All Associates'!A403)+COUNTIF(Tower_5!G:G,'All Associates'!A403)+COUNTIF(Tower_6!G:G,'All Associates'!A403)+COUNTIF(Riviera_3!G:G,'All Associates'!A403)+COUNTIF(Riviera_4!G:G,'All Associates'!A403)+COUNTIF(Riviera_5!G:G,'All Associates'!A403)</f>
        <v/>
      </c>
      <c r="J403" s="112">
        <f>IF(I403=0,"Not Allocated",IF(I403=1,"Allocated","Duplicate"))</f>
        <v/>
      </c>
    </row>
    <row r="404" hidden="1">
      <c r="A404" s="83" t="n">
        <v>757</v>
      </c>
      <c r="B404" s="80" t="inlineStr">
        <is>
          <t>NICHOLAS SMITH</t>
        </is>
      </c>
      <c r="C404" s="80" t="inlineStr">
        <is>
          <t>Activ</t>
        </is>
      </c>
      <c r="D404" s="80" t="inlineStr">
        <is>
          <t>PETER ROBINSON</t>
        </is>
      </c>
      <c r="E404" s="80" t="inlineStr">
        <is>
          <t>MR. MICHAEL KELLY</t>
        </is>
      </c>
      <c r="F404" s="80" t="inlineStr">
        <is>
          <t>HEATHER SOLIS</t>
        </is>
      </c>
      <c r="G404" s="80" t="inlineStr">
        <is>
          <t>HEATHER SOLIS</t>
        </is>
      </c>
      <c r="H404" s="80" t="inlineStr">
        <is>
          <t>138-2</t>
        </is>
      </c>
      <c r="I404" s="111">
        <f>COUNTIF(Tower_3!G:G,'All Associates'!A404)+COUNTIF(Tower_4!G:G,'All Associates'!A404)+COUNTIF(Tower_5!G:G,'All Associates'!A404)+COUNTIF(Tower_6!G:G,'All Associates'!A404)+COUNTIF(Riviera_3!G:G,'All Associates'!A404)+COUNTIF(Riviera_4!G:G,'All Associates'!A404)+COUNTIF(Riviera_5!G:G,'All Associates'!A404)</f>
        <v/>
      </c>
      <c r="J404" s="112">
        <f>IF(I404=0,"Not Allocated",IF(I404=1,"Allocated","Duplicate"))</f>
        <v/>
      </c>
    </row>
    <row r="405" hidden="1">
      <c r="A405" s="83" t="n">
        <v>997</v>
      </c>
      <c r="B405" s="80" t="inlineStr">
        <is>
          <t>CRISTINA SMITH</t>
        </is>
      </c>
      <c r="C405" s="80" t="inlineStr">
        <is>
          <t>Activ</t>
        </is>
      </c>
      <c r="D405" s="80" t="inlineStr">
        <is>
          <t>CYNTHIA STUART</t>
        </is>
      </c>
      <c r="E405" s="80" t="inlineStr">
        <is>
          <t>ALEXANDER BAUTISTA</t>
        </is>
      </c>
      <c r="F405" s="80" t="inlineStr">
        <is>
          <t>HEATHER SOLIS</t>
        </is>
      </c>
      <c r="G405" s="80" t="inlineStr">
        <is>
          <t>HEATHER SOLIS</t>
        </is>
      </c>
      <c r="H405" s="80" t="inlineStr">
        <is>
          <t>138-1</t>
        </is>
      </c>
      <c r="I405" s="111">
        <f>COUNTIF(Tower_3!G:G,'All Associates'!A405)+COUNTIF(Tower_4!G:G,'All Associates'!A405)+COUNTIF(Tower_5!G:G,'All Associates'!A405)+COUNTIF(Tower_6!G:G,'All Associates'!A405)+COUNTIF(Riviera_3!G:G,'All Associates'!A405)+COUNTIF(Riviera_4!G:G,'All Associates'!A405)+COUNTIF(Riviera_5!G:G,'All Associates'!A405)</f>
        <v/>
      </c>
      <c r="J405" s="112">
        <f>IF(I405=0,"Not Allocated",IF(I405=1,"Allocated","Duplicate"))</f>
        <v/>
      </c>
    </row>
    <row r="406" hidden="1">
      <c r="A406" s="83" t="n">
        <v>479</v>
      </c>
      <c r="B406" s="80" t="inlineStr">
        <is>
          <t>ANTONIO TATE</t>
        </is>
      </c>
      <c r="C406" s="80" t="inlineStr">
        <is>
          <t>Activ</t>
        </is>
      </c>
      <c r="D406" s="80" t="inlineStr">
        <is>
          <t>LOUIS PETERSEN</t>
        </is>
      </c>
      <c r="E406" s="80" t="inlineStr">
        <is>
          <t>KENNETH CONRAD</t>
        </is>
      </c>
      <c r="F406" s="80" t="inlineStr">
        <is>
          <t>KIMBERLY CLARK</t>
        </is>
      </c>
      <c r="G406" s="80" t="inlineStr">
        <is>
          <t>KENNETH CONRAD</t>
        </is>
      </c>
      <c r="H406" s="80" t="inlineStr">
        <is>
          <t>127-1</t>
        </is>
      </c>
      <c r="I406" s="111">
        <f>COUNTIF(Tower_3!G:G,'All Associates'!A406)+COUNTIF(Tower_4!G:G,'All Associates'!A406)+COUNTIF(Tower_5!G:G,'All Associates'!A406)+COUNTIF(Tower_6!G:G,'All Associates'!A406)+COUNTIF(Riviera_3!G:G,'All Associates'!A406)+COUNTIF(Riviera_4!G:G,'All Associates'!A406)+COUNTIF(Riviera_5!G:G,'All Associates'!A406)</f>
        <v/>
      </c>
      <c r="J406" s="112">
        <f>IF(I406=0,"Not Allocated",IF(I406=1,"Allocated","Duplicate"))</f>
        <v/>
      </c>
    </row>
    <row r="407" hidden="1">
      <c r="A407" s="83" t="n">
        <v>852</v>
      </c>
      <c r="B407" s="80" t="inlineStr">
        <is>
          <t>FREDERICK MILLER</t>
        </is>
      </c>
      <c r="C407" s="80" t="inlineStr">
        <is>
          <t>Activ</t>
        </is>
      </c>
      <c r="D407" s="80" t="inlineStr">
        <is>
          <t>CHAD PEREZ</t>
        </is>
      </c>
      <c r="E407" s="80" t="inlineStr">
        <is>
          <t>MARISSA CROSS</t>
        </is>
      </c>
      <c r="F407" s="80" t="inlineStr">
        <is>
          <t>KIMBERLY CLARK</t>
        </is>
      </c>
      <c r="G407" s="80" t="inlineStr">
        <is>
          <t>MARISSA CROSS</t>
        </is>
      </c>
      <c r="H407" s="80" t="inlineStr">
        <is>
          <t>220-2</t>
        </is>
      </c>
      <c r="I407" s="111">
        <f>COUNTIF(Tower_3!G:G,'All Associates'!A407)+COUNTIF(Tower_4!G:G,'All Associates'!A407)+COUNTIF(Tower_5!G:G,'All Associates'!A407)+COUNTIF(Tower_6!G:G,'All Associates'!A407)+COUNTIF(Riviera_3!G:G,'All Associates'!A407)+COUNTIF(Riviera_4!G:G,'All Associates'!A407)+COUNTIF(Riviera_5!G:G,'All Associates'!A407)</f>
        <v/>
      </c>
      <c r="J407" s="112">
        <f>IF(I407=0,"Not Allocated",IF(I407=1,"Allocated","Duplicate"))</f>
        <v/>
      </c>
    </row>
    <row r="408" hidden="1">
      <c r="A408" s="83" t="n">
        <v>954</v>
      </c>
      <c r="B408" s="80" t="inlineStr">
        <is>
          <t>TRAVIS WILLIAMS</t>
        </is>
      </c>
      <c r="C408" s="80" t="inlineStr">
        <is>
          <t>Activ</t>
        </is>
      </c>
      <c r="D408" s="80" t="inlineStr">
        <is>
          <t>LOUIS PETERSEN</t>
        </is>
      </c>
      <c r="E408" s="80" t="inlineStr">
        <is>
          <t>KENNETH CONRAD</t>
        </is>
      </c>
      <c r="F408" s="80" t="inlineStr">
        <is>
          <t>KIMBERLY CLARK</t>
        </is>
      </c>
      <c r="G408" s="80" t="inlineStr">
        <is>
          <t>KENNETH CONRAD</t>
        </is>
      </c>
      <c r="H408" s="80" t="inlineStr">
        <is>
          <t>127-1</t>
        </is>
      </c>
      <c r="I408" s="111">
        <f>COUNTIF(Tower_3!G:G,'All Associates'!A408)+COUNTIF(Tower_4!G:G,'All Associates'!A408)+COUNTIF(Tower_5!G:G,'All Associates'!A408)+COUNTIF(Tower_6!G:G,'All Associates'!A408)+COUNTIF(Riviera_3!G:G,'All Associates'!A408)+COUNTIF(Riviera_4!G:G,'All Associates'!A408)+COUNTIF(Riviera_5!G:G,'All Associates'!A408)</f>
        <v/>
      </c>
      <c r="J408" s="112">
        <f>IF(I408=0,"Not Allocated",IF(I408=1,"Allocated","Duplicate"))</f>
        <v/>
      </c>
    </row>
    <row r="409" hidden="1">
      <c r="A409" s="83" t="n">
        <v>1210</v>
      </c>
      <c r="B409" s="80" t="inlineStr">
        <is>
          <t>ZACHARY FOX</t>
        </is>
      </c>
      <c r="C409" s="80" t="inlineStr">
        <is>
          <t>Activ</t>
        </is>
      </c>
      <c r="D409" s="80" t="inlineStr">
        <is>
          <t>JAMES EDWARDS</t>
        </is>
      </c>
      <c r="E409" s="80" t="inlineStr">
        <is>
          <t>DR. DIANA CARROLL</t>
        </is>
      </c>
      <c r="F409" s="80" t="inlineStr">
        <is>
          <t>HEATHER SOLIS</t>
        </is>
      </c>
      <c r="G409" s="80" t="inlineStr">
        <is>
          <t>HEATHER SOLIS</t>
        </is>
      </c>
      <c r="H409" s="80" t="inlineStr">
        <is>
          <t>138-1</t>
        </is>
      </c>
      <c r="I409" s="111">
        <f>COUNTIF(Tower_3!G:G,'All Associates'!A409)+COUNTIF(Tower_4!G:G,'All Associates'!A409)+COUNTIF(Tower_5!G:G,'All Associates'!A409)+COUNTIF(Tower_6!G:G,'All Associates'!A409)+COUNTIF(Riviera_3!G:G,'All Associates'!A409)+COUNTIF(Riviera_4!G:G,'All Associates'!A409)+COUNTIF(Riviera_5!G:G,'All Associates'!A409)</f>
        <v/>
      </c>
      <c r="J409" s="112">
        <f>IF(I409=0,"Not Allocated",IF(I409=1,"Allocated","Duplicate"))</f>
        <v/>
      </c>
    </row>
    <row r="410" hidden="1">
      <c r="A410" s="83" t="n">
        <v>1045</v>
      </c>
      <c r="B410" s="80" t="inlineStr">
        <is>
          <t>ROBERT WALKER</t>
        </is>
      </c>
      <c r="C410" s="80" t="inlineStr">
        <is>
          <t>Activ</t>
        </is>
      </c>
      <c r="D410" s="80" t="inlineStr">
        <is>
          <t>SUSAN RAY</t>
        </is>
      </c>
      <c r="E410" s="80" t="inlineStr">
        <is>
          <t>ALEXANDER MILLER</t>
        </is>
      </c>
      <c r="F410" s="80" t="inlineStr">
        <is>
          <t>KIMBERLY CLARK</t>
        </is>
      </c>
      <c r="G410" s="80" t="inlineStr">
        <is>
          <t>ALEXANDER MILLER</t>
        </is>
      </c>
      <c r="H410" s="80" t="inlineStr">
        <is>
          <t>196-1</t>
        </is>
      </c>
      <c r="I410" s="111">
        <f>COUNTIF(Tower_3!G:G,'All Associates'!A410)+COUNTIF(Tower_4!G:G,'All Associates'!A410)+COUNTIF(Tower_5!G:G,'All Associates'!A410)+COUNTIF(Tower_6!G:G,'All Associates'!A410)+COUNTIF(Riviera_3!G:G,'All Associates'!A410)+COUNTIF(Riviera_4!G:G,'All Associates'!A410)+COUNTIF(Riviera_5!G:G,'All Associates'!A410)</f>
        <v/>
      </c>
      <c r="J410" s="112">
        <f>IF(I410=0,"Not Allocated",IF(I410=1,"Allocated","Duplicate"))</f>
        <v/>
      </c>
    </row>
    <row r="411" hidden="1">
      <c r="A411" s="83" t="n">
        <v>779</v>
      </c>
      <c r="B411" s="80" t="inlineStr">
        <is>
          <t>KELLY JOHNSON</t>
        </is>
      </c>
      <c r="C411" s="80" t="inlineStr">
        <is>
          <t>Activ</t>
        </is>
      </c>
      <c r="D411" s="80" t="inlineStr">
        <is>
          <t>KENNETH DOUGHERTY</t>
        </is>
      </c>
      <c r="E411" s="80" t="inlineStr">
        <is>
          <t>CHELSEA CAMPBELL</t>
        </is>
      </c>
      <c r="F411" s="80" t="inlineStr">
        <is>
          <t>KENNETH CONRAD</t>
        </is>
      </c>
      <c r="G411" s="80" t="inlineStr">
        <is>
          <t>KENNETH CONRAD</t>
        </is>
      </c>
      <c r="H411" s="80" t="inlineStr">
        <is>
          <t>153-1</t>
        </is>
      </c>
      <c r="I411" s="111">
        <f>COUNTIF(Tower_3!G:G,'All Associates'!A411)+COUNTIF(Tower_4!G:G,'All Associates'!A411)+COUNTIF(Tower_5!G:G,'All Associates'!A411)+COUNTIF(Tower_6!G:G,'All Associates'!A411)+COUNTIF(Riviera_3!G:G,'All Associates'!A411)+COUNTIF(Riviera_4!G:G,'All Associates'!A411)+COUNTIF(Riviera_5!G:G,'All Associates'!A411)</f>
        <v/>
      </c>
      <c r="J411" s="112">
        <f>IF(I411=0,"Not Allocated",IF(I411=1,"Allocated","Duplicate"))</f>
        <v/>
      </c>
    </row>
    <row r="412" hidden="1">
      <c r="A412" s="83" t="n">
        <v>656</v>
      </c>
      <c r="B412" s="80" t="inlineStr">
        <is>
          <t>JESSICA SANDERS</t>
        </is>
      </c>
      <c r="C412" s="80" t="inlineStr">
        <is>
          <t>Activ</t>
        </is>
      </c>
      <c r="D412" s="80" t="inlineStr">
        <is>
          <t>STEPHANIE PERKINS</t>
        </is>
      </c>
      <c r="E412" s="80" t="inlineStr">
        <is>
          <t>MR. MICHAEL KELLY</t>
        </is>
      </c>
      <c r="F412" s="80" t="inlineStr">
        <is>
          <t>HEATHER SOLIS</t>
        </is>
      </c>
      <c r="G412" s="80" t="inlineStr">
        <is>
          <t>HEATHER SOLIS</t>
        </is>
      </c>
      <c r="H412" s="80" t="inlineStr">
        <is>
          <t>138-2</t>
        </is>
      </c>
      <c r="I412" s="111">
        <f>COUNTIF(Tower_3!G:G,'All Associates'!A412)+COUNTIF(Tower_4!G:G,'All Associates'!A412)+COUNTIF(Tower_5!G:G,'All Associates'!A412)+COUNTIF(Tower_6!G:G,'All Associates'!A412)+COUNTIF(Riviera_3!G:G,'All Associates'!A412)+COUNTIF(Riviera_4!G:G,'All Associates'!A412)+COUNTIF(Riviera_5!G:G,'All Associates'!A412)</f>
        <v/>
      </c>
      <c r="J412" s="112">
        <f>IF(I412=0,"Not Allocated",IF(I412=1,"Allocated","Duplicate"))</f>
        <v/>
      </c>
    </row>
    <row r="413" hidden="1">
      <c r="A413" s="83" t="n">
        <v>722</v>
      </c>
      <c r="B413" s="80" t="inlineStr">
        <is>
          <t>RONALD EDWARDS</t>
        </is>
      </c>
      <c r="C413" s="80" t="inlineStr">
        <is>
          <t>Activ</t>
        </is>
      </c>
      <c r="D413" s="80" t="inlineStr">
        <is>
          <t>LINDA DONOVAN</t>
        </is>
      </c>
      <c r="E413" s="80" t="inlineStr">
        <is>
          <t>REBECCA VAUGHN</t>
        </is>
      </c>
      <c r="F413" s="80" t="inlineStr">
        <is>
          <t>MR. MICHAEL KELLY</t>
        </is>
      </c>
      <c r="G413" s="80" t="inlineStr">
        <is>
          <t>HEATHER SOLIS</t>
        </is>
      </c>
      <c r="H413" s="80" t="inlineStr">
        <is>
          <t>138-2</t>
        </is>
      </c>
      <c r="I413" s="111">
        <f>COUNTIF(Tower_3!G:G,'All Associates'!A413)+COUNTIF(Tower_4!G:G,'All Associates'!A413)+COUNTIF(Tower_5!G:G,'All Associates'!A413)+COUNTIF(Tower_6!G:G,'All Associates'!A413)+COUNTIF(Riviera_3!G:G,'All Associates'!A413)+COUNTIF(Riviera_4!G:G,'All Associates'!A413)+COUNTIF(Riviera_5!G:G,'All Associates'!A413)</f>
        <v/>
      </c>
      <c r="J413" s="112">
        <f>IF(I413=0,"Not Allocated",IF(I413=1,"Allocated","Duplicate"))</f>
        <v/>
      </c>
    </row>
    <row r="414" hidden="1">
      <c r="A414" s="83" t="n">
        <v>1223</v>
      </c>
      <c r="B414" s="80" t="inlineStr">
        <is>
          <t>ARTHUR CONNER</t>
        </is>
      </c>
      <c r="C414" s="80" t="inlineStr">
        <is>
          <t>Activ</t>
        </is>
      </c>
      <c r="D414" s="80" t="inlineStr">
        <is>
          <t>JOHN SCOTT DDS</t>
        </is>
      </c>
      <c r="E414" s="80" t="inlineStr">
        <is>
          <t>ADAM SMITH</t>
        </is>
      </c>
      <c r="F414" s="80" t="inlineStr">
        <is>
          <t>PHILLIP TRAVIS</t>
        </is>
      </c>
      <c r="G414" s="80" t="inlineStr">
        <is>
          <t>PHILLIP TRAVIS</t>
        </is>
      </c>
      <c r="H414" s="80" t="inlineStr">
        <is>
          <t>156-1</t>
        </is>
      </c>
      <c r="I414" s="111">
        <f>COUNTIF(Tower_3!G:G,'All Associates'!A414)+COUNTIF(Tower_4!G:G,'All Associates'!A414)+COUNTIF(Tower_5!G:G,'All Associates'!A414)+COUNTIF(Tower_6!G:G,'All Associates'!A414)+COUNTIF(Riviera_3!G:G,'All Associates'!A414)+COUNTIF(Riviera_4!G:G,'All Associates'!A414)+COUNTIF(Riviera_5!G:G,'All Associates'!A414)</f>
        <v/>
      </c>
      <c r="J414" s="112">
        <f>IF(I414=0,"Not Allocated",IF(I414=1,"Allocated","Duplicate"))</f>
        <v/>
      </c>
    </row>
    <row r="415" hidden="1">
      <c r="A415" s="83" t="n">
        <v>1076</v>
      </c>
      <c r="B415" s="80" t="inlineStr">
        <is>
          <t>LARRY CUMMINGS</t>
        </is>
      </c>
      <c r="C415" s="80" t="inlineStr">
        <is>
          <t>Activ</t>
        </is>
      </c>
      <c r="D415" s="80" t="inlineStr">
        <is>
          <t>CRYSTAL HOLLAND</t>
        </is>
      </c>
      <c r="E415" s="80" t="inlineStr">
        <is>
          <t>ALEXANDER MILLER</t>
        </is>
      </c>
      <c r="F415" s="80" t="inlineStr">
        <is>
          <t>KIMBERLY CLARK</t>
        </is>
      </c>
      <c r="G415" s="80" t="inlineStr">
        <is>
          <t>ALEXANDER MILLER</t>
        </is>
      </c>
      <c r="H415" s="80" t="inlineStr">
        <is>
          <t>135-1</t>
        </is>
      </c>
      <c r="I415" s="111">
        <f>COUNTIF(Tower_3!G:G,'All Associates'!A415)+COUNTIF(Tower_4!G:G,'All Associates'!A415)+COUNTIF(Tower_5!G:G,'All Associates'!A415)+COUNTIF(Tower_6!G:G,'All Associates'!A415)+COUNTIF(Riviera_3!G:G,'All Associates'!A415)+COUNTIF(Riviera_4!G:G,'All Associates'!A415)+COUNTIF(Riviera_5!G:G,'All Associates'!A415)</f>
        <v/>
      </c>
      <c r="J415" s="112">
        <f>IF(I415=0,"Not Allocated",IF(I415=1,"Allocated","Duplicate"))</f>
        <v/>
      </c>
    </row>
    <row r="416" hidden="1">
      <c r="A416" s="83" t="n">
        <v>915</v>
      </c>
      <c r="B416" s="80" t="inlineStr">
        <is>
          <t>DAVID NICHOLSON</t>
        </is>
      </c>
      <c r="C416" s="80" t="inlineStr">
        <is>
          <t>Activ</t>
        </is>
      </c>
      <c r="D416" s="80" t="inlineStr">
        <is>
          <t>JULIE MARTIN MD</t>
        </is>
      </c>
      <c r="E416" s="80" t="inlineStr">
        <is>
          <t>KIMBERLY CLARK</t>
        </is>
      </c>
      <c r="F416" s="80" t="inlineStr">
        <is>
          <t>KIMBERLY CLARK</t>
        </is>
      </c>
      <c r="G416" s="80" t="inlineStr">
        <is>
          <t>KIMBERLY CLARK</t>
        </is>
      </c>
      <c r="H416" s="80" t="inlineStr">
        <is>
          <t>210-1</t>
        </is>
      </c>
      <c r="I416" s="111">
        <f>COUNTIF(Tower_3!G:G,'All Associates'!A416)+COUNTIF(Tower_4!G:G,'All Associates'!A416)+COUNTIF(Tower_5!G:G,'All Associates'!A416)+COUNTIF(Tower_6!G:G,'All Associates'!A416)+COUNTIF(Riviera_3!G:G,'All Associates'!A416)+COUNTIF(Riviera_4!G:G,'All Associates'!A416)+COUNTIF(Riviera_5!G:G,'All Associates'!A416)</f>
        <v/>
      </c>
      <c r="J416" s="112">
        <f>IF(I416=0,"Not Allocated",IF(I416=1,"Allocated","Duplicate"))</f>
        <v/>
      </c>
    </row>
    <row r="417" hidden="1">
      <c r="A417" s="83" t="n">
        <v>1182</v>
      </c>
      <c r="B417" s="80" t="inlineStr">
        <is>
          <t>JAMES SUAREZ</t>
        </is>
      </c>
      <c r="C417" s="80" t="inlineStr">
        <is>
          <t>Activ</t>
        </is>
      </c>
      <c r="D417" s="80" t="inlineStr">
        <is>
          <t>CYNTHIA STUART</t>
        </is>
      </c>
      <c r="E417" s="80" t="inlineStr">
        <is>
          <t>ALEXANDER BAUTISTA</t>
        </is>
      </c>
      <c r="F417" s="80" t="inlineStr">
        <is>
          <t>HEATHER SOLIS</t>
        </is>
      </c>
      <c r="G417" s="80" t="inlineStr">
        <is>
          <t>HEATHER SOLIS</t>
        </is>
      </c>
      <c r="H417" s="80" t="inlineStr">
        <is>
          <t>138-1</t>
        </is>
      </c>
      <c r="I417" s="111">
        <f>COUNTIF(Tower_3!G:G,'All Associates'!A417)+COUNTIF(Tower_4!G:G,'All Associates'!A417)+COUNTIF(Tower_5!G:G,'All Associates'!A417)+COUNTIF(Tower_6!G:G,'All Associates'!A417)+COUNTIF(Riviera_3!G:G,'All Associates'!A417)+COUNTIF(Riviera_4!G:G,'All Associates'!A417)+COUNTIF(Riviera_5!G:G,'All Associates'!A417)</f>
        <v/>
      </c>
      <c r="J417" s="112">
        <f>IF(I417=0,"Not Allocated",IF(I417=1,"Allocated","Duplicate"))</f>
        <v/>
      </c>
    </row>
    <row r="418" hidden="1">
      <c r="A418" s="83" t="n">
        <v>789</v>
      </c>
      <c r="B418" s="80" t="inlineStr">
        <is>
          <t>KELLY HOLMES</t>
        </is>
      </c>
      <c r="C418" s="80" t="inlineStr">
        <is>
          <t>Activ</t>
        </is>
      </c>
      <c r="D418" s="80" t="inlineStr">
        <is>
          <t>KATHERINE DELGADO</t>
        </is>
      </c>
      <c r="E418" s="80" t="inlineStr">
        <is>
          <t>LOUIS PETERSEN</t>
        </is>
      </c>
      <c r="F418" s="80" t="inlineStr">
        <is>
          <t>KENNETH CONRAD</t>
        </is>
      </c>
      <c r="G418" s="80" t="inlineStr">
        <is>
          <t>KENNETH CONRAD</t>
        </is>
      </c>
      <c r="H418" s="80" t="inlineStr">
        <is>
          <t>127-1</t>
        </is>
      </c>
      <c r="I418" s="111">
        <f>COUNTIF(Tower_3!G:G,'All Associates'!A418)+COUNTIF(Tower_4!G:G,'All Associates'!A418)+COUNTIF(Tower_5!G:G,'All Associates'!A418)+COUNTIF(Tower_6!G:G,'All Associates'!A418)+COUNTIF(Riviera_3!G:G,'All Associates'!A418)+COUNTIF(Riviera_4!G:G,'All Associates'!A418)+COUNTIF(Riviera_5!G:G,'All Associates'!A418)</f>
        <v/>
      </c>
      <c r="J418" s="112">
        <f>IF(I418=0,"Not Allocated",IF(I418=1,"Allocated","Duplicate"))</f>
        <v/>
      </c>
    </row>
    <row r="419" hidden="1">
      <c r="A419" s="83" t="n">
        <v>424</v>
      </c>
      <c r="B419" s="80" t="inlineStr">
        <is>
          <t>KATHERINE PECK</t>
        </is>
      </c>
      <c r="C419" s="80" t="inlineStr">
        <is>
          <t>Activ</t>
        </is>
      </c>
      <c r="D419" s="80" t="inlineStr">
        <is>
          <t>LOUIS PETERSEN</t>
        </is>
      </c>
      <c r="E419" s="80" t="inlineStr">
        <is>
          <t>KENNETH CONRAD</t>
        </is>
      </c>
      <c r="F419" s="80" t="inlineStr">
        <is>
          <t>KIMBERLY CLARK</t>
        </is>
      </c>
      <c r="G419" s="80" t="inlineStr">
        <is>
          <t>KENNETH CONRAD</t>
        </is>
      </c>
      <c r="H419" s="80" t="inlineStr">
        <is>
          <t>127-1</t>
        </is>
      </c>
      <c r="I419" s="111">
        <f>COUNTIF(Tower_3!G:G,'All Associates'!A419)+COUNTIF(Tower_4!G:G,'All Associates'!A419)+COUNTIF(Tower_5!G:G,'All Associates'!A419)+COUNTIF(Tower_6!G:G,'All Associates'!A419)+COUNTIF(Riviera_3!G:G,'All Associates'!A419)+COUNTIF(Riviera_4!G:G,'All Associates'!A419)+COUNTIF(Riviera_5!G:G,'All Associates'!A419)</f>
        <v/>
      </c>
      <c r="J419" s="112">
        <f>IF(I419=0,"Not Allocated",IF(I419=1,"Allocated","Duplicate"))</f>
        <v/>
      </c>
    </row>
    <row r="420" hidden="1">
      <c r="A420" s="83" t="n">
        <v>885</v>
      </c>
      <c r="B420" s="80" t="inlineStr">
        <is>
          <t>SHANNON PERRY</t>
        </is>
      </c>
      <c r="C420" s="80" t="inlineStr">
        <is>
          <t>Activ</t>
        </is>
      </c>
      <c r="D420" s="80" t="inlineStr">
        <is>
          <t>AMBER TURNER</t>
        </is>
      </c>
      <c r="E420" s="80" t="inlineStr">
        <is>
          <t>OSCAR TYLER</t>
        </is>
      </c>
      <c r="F420" s="80" t="inlineStr">
        <is>
          <t>KENNETH CONRAD</t>
        </is>
      </c>
      <c r="G420" s="80" t="inlineStr">
        <is>
          <t>KENNETH CONRAD</t>
        </is>
      </c>
      <c r="H420" s="80" t="inlineStr">
        <is>
          <t>127-1</t>
        </is>
      </c>
      <c r="I420" s="111">
        <f>COUNTIF(Tower_3!G:G,'All Associates'!A420)+COUNTIF(Tower_4!G:G,'All Associates'!A420)+COUNTIF(Tower_5!G:G,'All Associates'!A420)+COUNTIF(Tower_6!G:G,'All Associates'!A420)+COUNTIF(Riviera_3!G:G,'All Associates'!A420)+COUNTIF(Riviera_4!G:G,'All Associates'!A420)+COUNTIF(Riviera_5!G:G,'All Associates'!A420)</f>
        <v/>
      </c>
      <c r="J420" s="112">
        <f>IF(I420=0,"Not Allocated",IF(I420=1,"Allocated","Duplicate"))</f>
        <v/>
      </c>
    </row>
    <row r="421" hidden="1">
      <c r="A421" s="83" t="n">
        <v>931</v>
      </c>
      <c r="B421" s="80" t="inlineStr">
        <is>
          <t>BENJAMIN CLARK</t>
        </is>
      </c>
      <c r="C421" s="80" t="inlineStr">
        <is>
          <t>Activ</t>
        </is>
      </c>
      <c r="D421" s="80" t="inlineStr">
        <is>
          <t>MS. KAITLIN WILKINSON</t>
        </is>
      </c>
      <c r="E421" s="80" t="inlineStr">
        <is>
          <t>ALEXANDER BAUTISTA</t>
        </is>
      </c>
      <c r="F421" s="80" t="inlineStr">
        <is>
          <t>HEATHER SOLIS</t>
        </is>
      </c>
      <c r="G421" s="80" t="inlineStr">
        <is>
          <t>HEATHER SOLIS</t>
        </is>
      </c>
      <c r="H421" s="80" t="inlineStr">
        <is>
          <t>138-1</t>
        </is>
      </c>
      <c r="I421" s="111">
        <f>COUNTIF(Tower_3!G:G,'All Associates'!A421)+COUNTIF(Tower_4!G:G,'All Associates'!A421)+COUNTIF(Tower_5!G:G,'All Associates'!A421)+COUNTIF(Tower_6!G:G,'All Associates'!A421)+COUNTIF(Riviera_3!G:G,'All Associates'!A421)+COUNTIF(Riviera_4!G:G,'All Associates'!A421)+COUNTIF(Riviera_5!G:G,'All Associates'!A421)</f>
        <v/>
      </c>
      <c r="J421" s="112">
        <f>IF(I421=0,"Not Allocated",IF(I421=1,"Allocated","Duplicate"))</f>
        <v/>
      </c>
    </row>
    <row r="422" hidden="1">
      <c r="A422" s="83" t="n">
        <v>651</v>
      </c>
      <c r="B422" s="80" t="inlineStr">
        <is>
          <t>CARLOS SPARKS</t>
        </is>
      </c>
      <c r="C422" s="80" t="inlineStr">
        <is>
          <t>Activ</t>
        </is>
      </c>
      <c r="D422" s="80" t="inlineStr">
        <is>
          <t>BETH TUCKER</t>
        </is>
      </c>
      <c r="E422" s="80" t="inlineStr">
        <is>
          <t>KIMBERLY CLARK</t>
        </is>
      </c>
      <c r="F422" s="80" t="inlineStr">
        <is>
          <t>KIMBERLY CLARK</t>
        </is>
      </c>
      <c r="G422" s="80" t="inlineStr">
        <is>
          <t>KIMBERLY CLARK</t>
        </is>
      </c>
      <c r="H422" s="80" t="inlineStr">
        <is>
          <t>156-2</t>
        </is>
      </c>
      <c r="I422" s="111">
        <f>COUNTIF(Tower_3!G:G,'All Associates'!A422)+COUNTIF(Tower_4!G:G,'All Associates'!A422)+COUNTIF(Tower_5!G:G,'All Associates'!A422)+COUNTIF(Tower_6!G:G,'All Associates'!A422)+COUNTIF(Riviera_3!G:G,'All Associates'!A422)+COUNTIF(Riviera_4!G:G,'All Associates'!A422)+COUNTIF(Riviera_5!G:G,'All Associates'!A422)</f>
        <v/>
      </c>
      <c r="J422" s="112">
        <f>IF(I422=0,"Not Allocated",IF(I422=1,"Allocated","Duplicate"))</f>
        <v/>
      </c>
    </row>
    <row r="423" hidden="1">
      <c r="A423" s="83" t="n">
        <v>1201</v>
      </c>
      <c r="B423" s="80" t="inlineStr">
        <is>
          <t>GINA MILLER</t>
        </is>
      </c>
      <c r="C423" s="80" t="inlineStr">
        <is>
          <t>Activ</t>
        </is>
      </c>
      <c r="D423" s="80" t="inlineStr">
        <is>
          <t>BRENDA PAGE</t>
        </is>
      </c>
      <c r="E423" s="80" t="inlineStr">
        <is>
          <t>ASHLEY FRENCH</t>
        </is>
      </c>
      <c r="F423" s="80" t="inlineStr">
        <is>
          <t>PHILLIP TRAVIS</t>
        </is>
      </c>
      <c r="G423" s="80" t="inlineStr">
        <is>
          <t>PHILLIP TRAVIS</t>
        </is>
      </c>
      <c r="H423" s="80" t="inlineStr">
        <is>
          <t>156-1</t>
        </is>
      </c>
      <c r="I423" s="111">
        <f>COUNTIF(Tower_3!G:G,'All Associates'!A423)+COUNTIF(Tower_4!G:G,'All Associates'!A423)+COUNTIF(Tower_5!G:G,'All Associates'!A423)+COUNTIF(Tower_6!G:G,'All Associates'!A423)+COUNTIF(Riviera_3!G:G,'All Associates'!A423)+COUNTIF(Riviera_4!G:G,'All Associates'!A423)+COUNTIF(Riviera_5!G:G,'All Associates'!A423)</f>
        <v/>
      </c>
      <c r="J423" s="112">
        <f>IF(I423=0,"Not Allocated",IF(I423=1,"Allocated","Duplicate"))</f>
        <v/>
      </c>
    </row>
    <row r="424" hidden="1">
      <c r="A424" s="83" t="n">
        <v>1063</v>
      </c>
      <c r="B424" s="80" t="inlineStr">
        <is>
          <t>SHARON MEYER</t>
        </is>
      </c>
      <c r="C424" s="80" t="inlineStr">
        <is>
          <t>Activ</t>
        </is>
      </c>
      <c r="D424" s="80" t="inlineStr">
        <is>
          <t>JOHN SCOTT DDS</t>
        </is>
      </c>
      <c r="E424" s="80" t="inlineStr">
        <is>
          <t>ADAM SMITH</t>
        </is>
      </c>
      <c r="F424" s="80" t="inlineStr">
        <is>
          <t>PHILLIP TRAVIS</t>
        </is>
      </c>
      <c r="G424" s="80" t="inlineStr">
        <is>
          <t>PHILLIP TRAVIS</t>
        </is>
      </c>
      <c r="H424" s="80" t="inlineStr">
        <is>
          <t>156-1</t>
        </is>
      </c>
      <c r="I424" s="111">
        <f>COUNTIF(Tower_3!G:G,'All Associates'!A424)+COUNTIF(Tower_4!G:G,'All Associates'!A424)+COUNTIF(Tower_5!G:G,'All Associates'!A424)+COUNTIF(Tower_6!G:G,'All Associates'!A424)+COUNTIF(Riviera_3!G:G,'All Associates'!A424)+COUNTIF(Riviera_4!G:G,'All Associates'!A424)+COUNTIF(Riviera_5!G:G,'All Associates'!A424)</f>
        <v/>
      </c>
      <c r="J424" s="112">
        <f>IF(I424=0,"Not Allocated",IF(I424=1,"Allocated","Duplicate"))</f>
        <v/>
      </c>
    </row>
    <row r="425" hidden="1">
      <c r="A425" s="83" t="n">
        <v>877</v>
      </c>
      <c r="B425" s="80" t="inlineStr">
        <is>
          <t>CAITLIN FRYE DVM</t>
        </is>
      </c>
      <c r="C425" s="80" t="inlineStr">
        <is>
          <t>Activ</t>
        </is>
      </c>
      <c r="D425" s="80" t="inlineStr">
        <is>
          <t>PETER ROBINSON</t>
        </is>
      </c>
      <c r="E425" s="80" t="inlineStr">
        <is>
          <t>MR. MICHAEL KELLY</t>
        </is>
      </c>
      <c r="F425" s="80" t="inlineStr">
        <is>
          <t>HEATHER SOLIS</t>
        </is>
      </c>
      <c r="G425" s="80" t="inlineStr">
        <is>
          <t>HEATHER SOLIS</t>
        </is>
      </c>
      <c r="H425" s="80" t="inlineStr">
        <is>
          <t>138-2</t>
        </is>
      </c>
      <c r="I425" s="111">
        <f>COUNTIF(Tower_3!G:G,'All Associates'!A425)+COUNTIF(Tower_4!G:G,'All Associates'!A425)+COUNTIF(Tower_5!G:G,'All Associates'!A425)+COUNTIF(Tower_6!G:G,'All Associates'!A425)+COUNTIF(Riviera_3!G:G,'All Associates'!A425)+COUNTIF(Riviera_4!G:G,'All Associates'!A425)+COUNTIF(Riviera_5!G:G,'All Associates'!A425)</f>
        <v/>
      </c>
      <c r="J425" s="112">
        <f>IF(I425=0,"Not Allocated",IF(I425=1,"Allocated","Duplicate"))</f>
        <v/>
      </c>
    </row>
    <row r="426" hidden="1">
      <c r="A426" s="83" t="n">
        <v>644</v>
      </c>
      <c r="B426" s="80" t="inlineStr">
        <is>
          <t>DAVID SILVA</t>
        </is>
      </c>
      <c r="C426" s="80" t="inlineStr">
        <is>
          <t>Activ</t>
        </is>
      </c>
      <c r="D426" s="80" t="inlineStr">
        <is>
          <t>KIMBERLY CLARK</t>
        </is>
      </c>
      <c r="E426" s="80" t="inlineStr">
        <is>
          <t>KIMBERLY CLARK</t>
        </is>
      </c>
      <c r="F426" s="80" t="inlineStr">
        <is>
          <t>KIMBERLY CLARK</t>
        </is>
      </c>
      <c r="G426" s="80" t="inlineStr">
        <is>
          <t>KIMBERLY CLARK</t>
        </is>
      </c>
      <c r="H426" s="80" t="inlineStr">
        <is>
          <t>156-2</t>
        </is>
      </c>
      <c r="I426" s="111">
        <f>COUNTIF(Tower_3!G:G,'All Associates'!A426)+COUNTIF(Tower_4!G:G,'All Associates'!A426)+COUNTIF(Tower_5!G:G,'All Associates'!A426)+COUNTIF(Tower_6!G:G,'All Associates'!A426)+COUNTIF(Riviera_3!G:G,'All Associates'!A426)+COUNTIF(Riviera_4!G:G,'All Associates'!A426)+COUNTIF(Riviera_5!G:G,'All Associates'!A426)</f>
        <v/>
      </c>
      <c r="J426" s="112">
        <f>IF(I426=0,"Not Allocated",IF(I426=1,"Allocated","Duplicate"))</f>
        <v/>
      </c>
    </row>
    <row r="427" hidden="1">
      <c r="A427" s="83" t="n">
        <v>465</v>
      </c>
      <c r="B427" s="80" t="inlineStr">
        <is>
          <t>MISTY HUNTER</t>
        </is>
      </c>
      <c r="C427" s="80" t="inlineStr">
        <is>
          <t>Activ</t>
        </is>
      </c>
      <c r="D427" s="80" t="inlineStr">
        <is>
          <t>KATHERINE ANDREWS</t>
        </is>
      </c>
      <c r="E427" s="80" t="inlineStr">
        <is>
          <t>CHAD PEREZ</t>
        </is>
      </c>
      <c r="F427" s="80" t="inlineStr">
        <is>
          <t>MARISSA CROSS</t>
        </is>
      </c>
      <c r="G427" s="80" t="inlineStr">
        <is>
          <t>MARISSA CROSS</t>
        </is>
      </c>
      <c r="H427" s="80" t="inlineStr">
        <is>
          <t>220-2</t>
        </is>
      </c>
      <c r="I427" s="111">
        <f>COUNTIF(Tower_3!G:G,'All Associates'!A427)+COUNTIF(Tower_4!G:G,'All Associates'!A427)+COUNTIF(Tower_5!G:G,'All Associates'!A427)+COUNTIF(Tower_6!G:G,'All Associates'!A427)+COUNTIF(Riviera_3!G:G,'All Associates'!A427)+COUNTIF(Riviera_4!G:G,'All Associates'!A427)+COUNTIF(Riviera_5!G:G,'All Associates'!A427)</f>
        <v/>
      </c>
      <c r="J427" s="112">
        <f>IF(I427=0,"Not Allocated",IF(I427=1,"Allocated","Duplicate"))</f>
        <v/>
      </c>
    </row>
    <row r="428" hidden="1">
      <c r="A428" s="83" t="n">
        <v>1101</v>
      </c>
      <c r="B428" s="80" t="inlineStr">
        <is>
          <t>ROBERT JONES</t>
        </is>
      </c>
      <c r="C428" s="80" t="inlineStr">
        <is>
          <t>Activ</t>
        </is>
      </c>
      <c r="D428" s="80" t="inlineStr">
        <is>
          <t>SUSAN RAY</t>
        </is>
      </c>
      <c r="E428" s="80" t="inlineStr">
        <is>
          <t>ALEXANDER MILLER</t>
        </is>
      </c>
      <c r="F428" s="80" t="inlineStr">
        <is>
          <t>KIMBERLY CLARK</t>
        </is>
      </c>
      <c r="G428" s="80" t="inlineStr">
        <is>
          <t>ALEXANDER MILLER</t>
        </is>
      </c>
      <c r="H428" s="80" t="inlineStr">
        <is>
          <t>196-1</t>
        </is>
      </c>
      <c r="I428" s="111">
        <f>COUNTIF(Tower_3!G:G,'All Associates'!A428)+COUNTIF(Tower_4!G:G,'All Associates'!A428)+COUNTIF(Tower_5!G:G,'All Associates'!A428)+COUNTIF(Tower_6!G:G,'All Associates'!A428)+COUNTIF(Riviera_3!G:G,'All Associates'!A428)+COUNTIF(Riviera_4!G:G,'All Associates'!A428)+COUNTIF(Riviera_5!G:G,'All Associates'!A428)</f>
        <v/>
      </c>
      <c r="J428" s="112">
        <f>IF(I428=0,"Not Allocated",IF(I428=1,"Allocated","Duplicate"))</f>
        <v/>
      </c>
    </row>
    <row r="429" hidden="1">
      <c r="A429" s="83" t="n">
        <v>711</v>
      </c>
      <c r="B429" s="80" t="inlineStr">
        <is>
          <t>BRADLEY BURCH</t>
        </is>
      </c>
      <c r="C429" s="80" t="inlineStr">
        <is>
          <t>Activ</t>
        </is>
      </c>
      <c r="D429" s="80" t="inlineStr">
        <is>
          <t>EDDIE DAY</t>
        </is>
      </c>
      <c r="E429" s="80" t="inlineStr">
        <is>
          <t>STEPHANIE WEAVER</t>
        </is>
      </c>
      <c r="F429" s="80" t="inlineStr">
        <is>
          <t>MARISSA CROSS</t>
        </is>
      </c>
      <c r="G429" s="80" t="inlineStr">
        <is>
          <t>MARISSA CROSS</t>
        </is>
      </c>
      <c r="H429" s="80" t="inlineStr">
        <is>
          <t>220-2</t>
        </is>
      </c>
      <c r="I429" s="111">
        <f>COUNTIF(Tower_3!G:G,'All Associates'!A429)+COUNTIF(Tower_4!G:G,'All Associates'!A429)+COUNTIF(Tower_5!G:G,'All Associates'!A429)+COUNTIF(Tower_6!G:G,'All Associates'!A429)+COUNTIF(Riviera_3!G:G,'All Associates'!A429)+COUNTIF(Riviera_4!G:G,'All Associates'!A429)+COUNTIF(Riviera_5!G:G,'All Associates'!A429)</f>
        <v/>
      </c>
      <c r="J429" s="112">
        <f>IF(I429=0,"Not Allocated",IF(I429=1,"Allocated","Duplicate"))</f>
        <v/>
      </c>
    </row>
    <row r="430" hidden="1">
      <c r="A430" s="83" t="n">
        <v>665</v>
      </c>
      <c r="B430" s="80" t="inlineStr">
        <is>
          <t>THERESA WALKER</t>
        </is>
      </c>
      <c r="C430" s="80" t="inlineStr">
        <is>
          <t>Activ</t>
        </is>
      </c>
      <c r="D430" s="80" t="inlineStr">
        <is>
          <t>ASHLEY FRENCH</t>
        </is>
      </c>
      <c r="E430" s="80" t="inlineStr">
        <is>
          <t>PHILLIP TRAVIS</t>
        </is>
      </c>
      <c r="F430" s="80" t="inlineStr">
        <is>
          <t>KIMBERLY CLARK</t>
        </is>
      </c>
      <c r="G430" s="80" t="inlineStr">
        <is>
          <t>PHILLIP TRAVIS</t>
        </is>
      </c>
      <c r="H430" s="80" t="inlineStr">
        <is>
          <t>156-1</t>
        </is>
      </c>
      <c r="I430" s="111">
        <f>COUNTIF(Tower_3!G:G,'All Associates'!A430)+COUNTIF(Tower_4!G:G,'All Associates'!A430)+COUNTIF(Tower_5!G:G,'All Associates'!A430)+COUNTIF(Tower_6!G:G,'All Associates'!A430)+COUNTIF(Riviera_3!G:G,'All Associates'!A430)+COUNTIF(Riviera_4!G:G,'All Associates'!A430)+COUNTIF(Riviera_5!G:G,'All Associates'!A430)</f>
        <v/>
      </c>
      <c r="J430" s="112">
        <f>IF(I430=0,"Not Allocated",IF(I430=1,"Allocated","Duplicate"))</f>
        <v/>
      </c>
    </row>
    <row r="431" hidden="1">
      <c r="A431" s="83" t="n">
        <v>771</v>
      </c>
      <c r="B431" s="80" t="inlineStr">
        <is>
          <t>CHRISTOPHER FITZGERALD</t>
        </is>
      </c>
      <c r="C431" s="80" t="inlineStr">
        <is>
          <t>Activ</t>
        </is>
      </c>
      <c r="D431" s="80" t="inlineStr">
        <is>
          <t>AMY ACOSTA</t>
        </is>
      </c>
      <c r="E431" s="80" t="inlineStr">
        <is>
          <t>MARISSA CROSS</t>
        </is>
      </c>
      <c r="F431" s="80" t="inlineStr">
        <is>
          <t>KIMBERLY CLARK</t>
        </is>
      </c>
      <c r="G431" s="80" t="inlineStr">
        <is>
          <t>MARISSA CROSS</t>
        </is>
      </c>
      <c r="H431" s="80" t="inlineStr">
        <is>
          <t>220-2</t>
        </is>
      </c>
      <c r="I431" s="111">
        <f>COUNTIF(Tower_3!G:G,'All Associates'!A431)+COUNTIF(Tower_4!G:G,'All Associates'!A431)+COUNTIF(Tower_5!G:G,'All Associates'!A431)+COUNTIF(Tower_6!G:G,'All Associates'!A431)+COUNTIF(Riviera_3!G:G,'All Associates'!A431)+COUNTIF(Riviera_4!G:G,'All Associates'!A431)+COUNTIF(Riviera_5!G:G,'All Associates'!A431)</f>
        <v/>
      </c>
      <c r="J431" s="112">
        <f>IF(I431=0,"Not Allocated",IF(I431=1,"Allocated","Duplicate"))</f>
        <v/>
      </c>
    </row>
    <row r="432" hidden="1">
      <c r="A432" s="83" t="n">
        <v>1141</v>
      </c>
      <c r="B432" s="80" t="inlineStr">
        <is>
          <t>TYLER JOHNSON</t>
        </is>
      </c>
      <c r="C432" s="80" t="inlineStr">
        <is>
          <t>Activ</t>
        </is>
      </c>
      <c r="D432" s="80" t="inlineStr">
        <is>
          <t>KIMBERLY SULLIVAN</t>
        </is>
      </c>
      <c r="E432" s="80" t="inlineStr">
        <is>
          <t>MR. MICHAEL KELLY</t>
        </is>
      </c>
      <c r="F432" s="80" t="inlineStr">
        <is>
          <t>HEATHER SOLIS</t>
        </is>
      </c>
      <c r="G432" s="80" t="inlineStr">
        <is>
          <t>HEATHER SOLIS</t>
        </is>
      </c>
      <c r="H432" s="80" t="inlineStr">
        <is>
          <t>138-2</t>
        </is>
      </c>
      <c r="I432" s="111">
        <f>COUNTIF(Tower_3!G:G,'All Associates'!A432)+COUNTIF(Tower_4!G:G,'All Associates'!A432)+COUNTIF(Tower_5!G:G,'All Associates'!A432)+COUNTIF(Tower_6!G:G,'All Associates'!A432)+COUNTIF(Riviera_3!G:G,'All Associates'!A432)+COUNTIF(Riviera_4!G:G,'All Associates'!A432)+COUNTIF(Riviera_5!G:G,'All Associates'!A432)</f>
        <v/>
      </c>
      <c r="J432" s="112">
        <f>IF(I432=0,"Not Allocated",IF(I432=1,"Allocated","Duplicate"))</f>
        <v/>
      </c>
    </row>
    <row r="433" hidden="1">
      <c r="A433" s="83" t="n">
        <v>379</v>
      </c>
      <c r="B433" s="80" t="inlineStr">
        <is>
          <t>WILLIAM ROGERS</t>
        </is>
      </c>
      <c r="C433" s="80" t="inlineStr">
        <is>
          <t>Activ</t>
        </is>
      </c>
      <c r="D433" s="80" t="inlineStr">
        <is>
          <t>STEPHANIE WEAVER</t>
        </is>
      </c>
      <c r="E433" s="80" t="inlineStr">
        <is>
          <t>MARISSA CROSS</t>
        </is>
      </c>
      <c r="F433" s="80" t="inlineStr">
        <is>
          <t>KIMBERLY CLARK</t>
        </is>
      </c>
      <c r="G433" s="80" t="inlineStr">
        <is>
          <t>MARISSA CROSS</t>
        </is>
      </c>
      <c r="H433" s="80" t="inlineStr">
        <is>
          <t>220-2</t>
        </is>
      </c>
      <c r="I433" s="111">
        <f>COUNTIF(Tower_3!G:G,'All Associates'!A433)+COUNTIF(Tower_4!G:G,'All Associates'!A433)+COUNTIF(Tower_5!G:G,'All Associates'!A433)+COUNTIF(Tower_6!G:G,'All Associates'!A433)+COUNTIF(Riviera_3!G:G,'All Associates'!A433)+COUNTIF(Riviera_4!G:G,'All Associates'!A433)+COUNTIF(Riviera_5!G:G,'All Associates'!A433)</f>
        <v/>
      </c>
      <c r="J433" s="112">
        <f>IF(I433=0,"Not Allocated",IF(I433=1,"Allocated","Duplicate"))</f>
        <v/>
      </c>
    </row>
    <row r="434" hidden="1">
      <c r="A434" s="83" t="n">
        <v>1022</v>
      </c>
      <c r="B434" s="80" t="inlineStr">
        <is>
          <t>SHAWN PACHECO</t>
        </is>
      </c>
      <c r="C434" s="80" t="inlineStr">
        <is>
          <t>Activ</t>
        </is>
      </c>
      <c r="D434" s="80" t="inlineStr">
        <is>
          <t>DEBRA OWEN</t>
        </is>
      </c>
      <c r="E434" s="80" t="inlineStr">
        <is>
          <t>DR. DIANA CARROLL</t>
        </is>
      </c>
      <c r="F434" s="80" t="inlineStr">
        <is>
          <t>HEATHER SOLIS</t>
        </is>
      </c>
      <c r="G434" s="80" t="inlineStr">
        <is>
          <t>HEATHER SOLIS</t>
        </is>
      </c>
      <c r="H434" s="80" t="inlineStr">
        <is>
          <t>138-1</t>
        </is>
      </c>
      <c r="I434" s="111">
        <f>COUNTIF(Tower_3!G:G,'All Associates'!A434)+COUNTIF(Tower_4!G:G,'All Associates'!A434)+COUNTIF(Tower_5!G:G,'All Associates'!A434)+COUNTIF(Tower_6!G:G,'All Associates'!A434)+COUNTIF(Riviera_3!G:G,'All Associates'!A434)+COUNTIF(Riviera_4!G:G,'All Associates'!A434)+COUNTIF(Riviera_5!G:G,'All Associates'!A434)</f>
        <v/>
      </c>
      <c r="J434" s="112">
        <f>IF(I434=0,"Not Allocated",IF(I434=1,"Allocated","Duplicate"))</f>
        <v/>
      </c>
    </row>
    <row r="435" hidden="1">
      <c r="A435" s="83" t="n">
        <v>447</v>
      </c>
      <c r="B435" s="80" t="inlineStr">
        <is>
          <t>ASHLEY GARCIA</t>
        </is>
      </c>
      <c r="C435" s="80" t="inlineStr">
        <is>
          <t>Activ</t>
        </is>
      </c>
      <c r="D435" s="80" t="inlineStr">
        <is>
          <t>KIMBERLY CLARK</t>
        </is>
      </c>
      <c r="E435" s="80" t="inlineStr">
        <is>
          <t>KIMBERLY CLARK</t>
        </is>
      </c>
      <c r="F435" s="80" t="inlineStr">
        <is>
          <t>KIMBERLY CLARK</t>
        </is>
      </c>
      <c r="G435" s="80" t="inlineStr">
        <is>
          <t>CURTIS BROWN JR.</t>
        </is>
      </c>
      <c r="H435" s="80" t="inlineStr">
        <is>
          <t>220-1</t>
        </is>
      </c>
      <c r="I435" s="111">
        <f>COUNTIF(Tower_3!G:G,'All Associates'!A435)+COUNTIF(Tower_4!G:G,'All Associates'!A435)+COUNTIF(Tower_5!G:G,'All Associates'!A435)+COUNTIF(Tower_6!G:G,'All Associates'!A435)+COUNTIF(Riviera_3!G:G,'All Associates'!A435)+COUNTIF(Riviera_4!G:G,'All Associates'!A435)+COUNTIF(Riviera_5!G:G,'All Associates'!A435)</f>
        <v/>
      </c>
      <c r="J435" s="112">
        <f>IF(I435=0,"Not Allocated",IF(I435=1,"Allocated","Duplicate"))</f>
        <v/>
      </c>
    </row>
    <row r="436" hidden="1">
      <c r="A436" s="83" t="n">
        <v>1152</v>
      </c>
      <c r="B436" s="80" t="inlineStr">
        <is>
          <t>ASHLEY WILSON</t>
        </is>
      </c>
      <c r="C436" s="80" t="inlineStr">
        <is>
          <t>Activ</t>
        </is>
      </c>
      <c r="D436" s="80" t="inlineStr">
        <is>
          <t>DANIEL TAYLOR</t>
        </is>
      </c>
      <c r="E436" s="80" t="inlineStr">
        <is>
          <t>REBECCA VAUGHN</t>
        </is>
      </c>
      <c r="F436" s="80" t="inlineStr">
        <is>
          <t>MR. MICHAEL KELLY</t>
        </is>
      </c>
      <c r="G436" s="80" t="inlineStr">
        <is>
          <t>HEATHER SOLIS</t>
        </is>
      </c>
      <c r="H436" s="80" t="inlineStr">
        <is>
          <t>138-2</t>
        </is>
      </c>
      <c r="I436" s="111">
        <f>COUNTIF(Tower_3!G:G,'All Associates'!A436)+COUNTIF(Tower_4!G:G,'All Associates'!A436)+COUNTIF(Tower_5!G:G,'All Associates'!A436)+COUNTIF(Tower_6!G:G,'All Associates'!A436)+COUNTIF(Riviera_3!G:G,'All Associates'!A436)+COUNTIF(Riviera_4!G:G,'All Associates'!A436)+COUNTIF(Riviera_5!G:G,'All Associates'!A436)</f>
        <v/>
      </c>
      <c r="J436" s="112">
        <f>IF(I436=0,"Not Allocated",IF(I436=1,"Allocated","Duplicate"))</f>
        <v/>
      </c>
    </row>
    <row r="437" hidden="1">
      <c r="A437" s="83" t="n">
        <v>1024</v>
      </c>
      <c r="B437" s="80" t="inlineStr">
        <is>
          <t>SHANE DUNLAP JR.</t>
        </is>
      </c>
      <c r="C437" s="80" t="inlineStr">
        <is>
          <t>Activ</t>
        </is>
      </c>
      <c r="D437" s="80" t="inlineStr">
        <is>
          <t>JORDAN MARQUEZ</t>
        </is>
      </c>
      <c r="E437" s="80" t="inlineStr">
        <is>
          <t>JEFFREY JONES</t>
        </is>
      </c>
      <c r="F437" s="80" t="inlineStr">
        <is>
          <t>NATHAN HAMILTON</t>
        </is>
      </c>
      <c r="G437" s="80" t="inlineStr">
        <is>
          <t>NATHAN HAMILTON</t>
        </is>
      </c>
      <c r="H437" s="80" t="inlineStr">
        <is>
          <t>221-1</t>
        </is>
      </c>
      <c r="I437" s="111">
        <f>COUNTIF(Tower_3!G:G,'All Associates'!A437)+COUNTIF(Tower_4!G:G,'All Associates'!A437)+COUNTIF(Tower_5!G:G,'All Associates'!A437)+COUNTIF(Tower_6!G:G,'All Associates'!A437)+COUNTIF(Riviera_3!G:G,'All Associates'!A437)+COUNTIF(Riviera_4!G:G,'All Associates'!A437)+COUNTIF(Riviera_5!G:G,'All Associates'!A437)</f>
        <v/>
      </c>
      <c r="J437" s="112">
        <f>IF(I437=0,"Not Allocated",IF(I437=1,"Allocated","Duplicate"))</f>
        <v/>
      </c>
    </row>
    <row r="438" hidden="1">
      <c r="A438" s="83" t="n">
        <v>1061</v>
      </c>
      <c r="B438" s="80" t="inlineStr">
        <is>
          <t>ALYSSA WASHINGTON</t>
        </is>
      </c>
      <c r="C438" s="80" t="inlineStr">
        <is>
          <t>Activ</t>
        </is>
      </c>
      <c r="D438" s="80" t="inlineStr">
        <is>
          <t>MICHAEL ROSALES</t>
        </is>
      </c>
      <c r="E438" s="80" t="inlineStr">
        <is>
          <t>BETH TUCKER</t>
        </is>
      </c>
      <c r="F438" s="80" t="inlineStr">
        <is>
          <t>KIMBERLY CLARK</t>
        </is>
      </c>
      <c r="G438" s="80" t="inlineStr">
        <is>
          <t>KIMBERLY CLARK</t>
        </is>
      </c>
      <c r="H438" s="80" t="inlineStr">
        <is>
          <t>156-2</t>
        </is>
      </c>
      <c r="I438" s="111">
        <f>COUNTIF(Tower_3!G:G,'All Associates'!A438)+COUNTIF(Tower_4!G:G,'All Associates'!A438)+COUNTIF(Tower_5!G:G,'All Associates'!A438)+COUNTIF(Tower_6!G:G,'All Associates'!A438)+COUNTIF(Riviera_3!G:G,'All Associates'!A438)+COUNTIF(Riviera_4!G:G,'All Associates'!A438)+COUNTIF(Riviera_5!G:G,'All Associates'!A438)</f>
        <v/>
      </c>
      <c r="J438" s="112">
        <f>IF(I438=0,"Not Allocated",IF(I438=1,"Allocated","Duplicate"))</f>
        <v/>
      </c>
    </row>
    <row r="439" hidden="1">
      <c r="A439" s="83" t="n">
        <v>70</v>
      </c>
      <c r="B439" s="80" t="inlineStr">
        <is>
          <t>ANDREW BROWN</t>
        </is>
      </c>
      <c r="C439" s="80" t="inlineStr">
        <is>
          <t>Activ</t>
        </is>
      </c>
      <c r="D439" s="80" t="inlineStr">
        <is>
          <t>DAVID HARTMAN</t>
        </is>
      </c>
      <c r="E439" s="80" t="inlineStr">
        <is>
          <t>STEPHANIE WEAVER</t>
        </is>
      </c>
      <c r="F439" s="80" t="inlineStr">
        <is>
          <t>MARISSA CROSS</t>
        </is>
      </c>
      <c r="G439" s="80" t="inlineStr">
        <is>
          <t>MARISSA CROSS</t>
        </is>
      </c>
      <c r="H439" s="80" t="inlineStr">
        <is>
          <t>220-2</t>
        </is>
      </c>
      <c r="I439" s="111">
        <f>COUNTIF(Tower_3!G:G,'All Associates'!A439)+COUNTIF(Tower_4!G:G,'All Associates'!A439)+COUNTIF(Tower_5!G:G,'All Associates'!A439)+COUNTIF(Tower_6!G:G,'All Associates'!A439)+COUNTIF(Riviera_3!G:G,'All Associates'!A439)+COUNTIF(Riviera_4!G:G,'All Associates'!A439)+COUNTIF(Riviera_5!G:G,'All Associates'!A439)</f>
        <v/>
      </c>
      <c r="J439" s="112">
        <f>IF(I439=0,"Not Allocated",IF(I439=1,"Allocated","Duplicate"))</f>
        <v/>
      </c>
    </row>
    <row r="440" hidden="1">
      <c r="A440" s="83" t="n">
        <v>841</v>
      </c>
      <c r="B440" s="80" t="inlineStr">
        <is>
          <t>DONNA WIGGINS</t>
        </is>
      </c>
      <c r="C440" s="80" t="inlineStr">
        <is>
          <t>Activ</t>
        </is>
      </c>
      <c r="D440" s="80" t="inlineStr">
        <is>
          <t>MS. KAITLIN WILKINSON</t>
        </is>
      </c>
      <c r="E440" s="80" t="inlineStr">
        <is>
          <t>ALEXANDER BAUTISTA</t>
        </is>
      </c>
      <c r="F440" s="80" t="inlineStr">
        <is>
          <t>HEATHER SOLIS</t>
        </is>
      </c>
      <c r="G440" s="80" t="inlineStr">
        <is>
          <t>HEATHER SOLIS</t>
        </is>
      </c>
      <c r="H440" s="80" t="inlineStr">
        <is>
          <t>138-1</t>
        </is>
      </c>
      <c r="I440" s="111">
        <f>COUNTIF(Tower_3!G:G,'All Associates'!A440)+COUNTIF(Tower_4!G:G,'All Associates'!A440)+COUNTIF(Tower_5!G:G,'All Associates'!A440)+COUNTIF(Tower_6!G:G,'All Associates'!A440)+COUNTIF(Riviera_3!G:G,'All Associates'!A440)+COUNTIF(Riviera_4!G:G,'All Associates'!A440)+COUNTIF(Riviera_5!G:G,'All Associates'!A440)</f>
        <v/>
      </c>
      <c r="J440" s="112">
        <f>IF(I440=0,"Not Allocated",IF(I440=1,"Allocated","Duplicate"))</f>
        <v/>
      </c>
    </row>
    <row r="441" hidden="1">
      <c r="A441" s="83" t="n">
        <v>1109</v>
      </c>
      <c r="B441" s="80" t="inlineStr">
        <is>
          <t>MARK MCKAY</t>
        </is>
      </c>
      <c r="C441" s="80" t="inlineStr">
        <is>
          <t>Activ</t>
        </is>
      </c>
      <c r="D441" s="80" t="inlineStr">
        <is>
          <t>SUMMER BARRETT</t>
        </is>
      </c>
      <c r="E441" s="80" t="inlineStr">
        <is>
          <t>ALEXANDER MILLER</t>
        </is>
      </c>
      <c r="F441" s="80" t="inlineStr">
        <is>
          <t>KIMBERLY CLARK</t>
        </is>
      </c>
      <c r="G441" s="80" t="inlineStr">
        <is>
          <t>ALEXANDER MILLER</t>
        </is>
      </c>
      <c r="H441" s="80" t="inlineStr">
        <is>
          <t>135-1</t>
        </is>
      </c>
      <c r="I441" s="111">
        <f>COUNTIF(Tower_3!G:G,'All Associates'!A441)+COUNTIF(Tower_4!G:G,'All Associates'!A441)+COUNTIF(Tower_5!G:G,'All Associates'!A441)+COUNTIF(Tower_6!G:G,'All Associates'!A441)+COUNTIF(Riviera_3!G:G,'All Associates'!A441)+COUNTIF(Riviera_4!G:G,'All Associates'!A441)+COUNTIF(Riviera_5!G:G,'All Associates'!A441)</f>
        <v/>
      </c>
      <c r="J441" s="112">
        <f>IF(I441=0,"Not Allocated",IF(I441=1,"Allocated","Duplicate"))</f>
        <v/>
      </c>
    </row>
    <row r="442" hidden="1">
      <c r="A442" s="83" t="n">
        <v>790</v>
      </c>
      <c r="B442" s="80" t="inlineStr">
        <is>
          <t>ERICA AUSTIN</t>
        </is>
      </c>
      <c r="C442" s="80" t="inlineStr">
        <is>
          <t>Activ</t>
        </is>
      </c>
      <c r="D442" s="80" t="inlineStr">
        <is>
          <t>EDDIE DAY</t>
        </is>
      </c>
      <c r="E442" s="80" t="inlineStr">
        <is>
          <t>STEPHANIE WEAVER</t>
        </is>
      </c>
      <c r="F442" s="80" t="inlineStr">
        <is>
          <t>MARISSA CROSS</t>
        </is>
      </c>
      <c r="G442" s="80" t="inlineStr">
        <is>
          <t>MARISSA CROSS</t>
        </is>
      </c>
      <c r="H442" s="80" t="inlineStr">
        <is>
          <t>220-2</t>
        </is>
      </c>
      <c r="I442" s="111">
        <f>COUNTIF(Tower_3!G:G,'All Associates'!A442)+COUNTIF(Tower_4!G:G,'All Associates'!A442)+COUNTIF(Tower_5!G:G,'All Associates'!A442)+COUNTIF(Tower_6!G:G,'All Associates'!A442)+COUNTIF(Riviera_3!G:G,'All Associates'!A442)+COUNTIF(Riviera_4!G:G,'All Associates'!A442)+COUNTIF(Riviera_5!G:G,'All Associates'!A442)</f>
        <v/>
      </c>
      <c r="J442" s="112">
        <f>IF(I442=0,"Not Allocated",IF(I442=1,"Allocated","Duplicate"))</f>
        <v/>
      </c>
    </row>
    <row r="443" hidden="1">
      <c r="A443" s="83" t="n">
        <v>583</v>
      </c>
      <c r="B443" s="80" t="inlineStr">
        <is>
          <t>ELIZABETH HOLLOWAY</t>
        </is>
      </c>
      <c r="C443" s="80" t="inlineStr">
        <is>
          <t>Activ</t>
        </is>
      </c>
      <c r="D443" s="80" t="inlineStr">
        <is>
          <t>TINA WONG</t>
        </is>
      </c>
      <c r="E443" s="80" t="inlineStr">
        <is>
          <t>DR. DIANA CARROLL</t>
        </is>
      </c>
      <c r="F443" s="80" t="inlineStr">
        <is>
          <t>HEATHER SOLIS</t>
        </is>
      </c>
      <c r="G443" s="80" t="inlineStr">
        <is>
          <t>HEATHER SOLIS</t>
        </is>
      </c>
      <c r="H443" s="80" t="inlineStr">
        <is>
          <t>138-1</t>
        </is>
      </c>
      <c r="I443" s="111">
        <f>COUNTIF(Tower_3!G:G,'All Associates'!A443)+COUNTIF(Tower_4!G:G,'All Associates'!A443)+COUNTIF(Tower_5!G:G,'All Associates'!A443)+COUNTIF(Tower_6!G:G,'All Associates'!A443)+COUNTIF(Riviera_3!G:G,'All Associates'!A443)+COUNTIF(Riviera_4!G:G,'All Associates'!A443)+COUNTIF(Riviera_5!G:G,'All Associates'!A443)</f>
        <v/>
      </c>
      <c r="J443" s="112">
        <f>IF(I443=0,"Not Allocated",IF(I443=1,"Allocated","Duplicate"))</f>
        <v/>
      </c>
    </row>
    <row r="444" hidden="1">
      <c r="A444" s="83" t="n">
        <v>1209</v>
      </c>
      <c r="B444" s="80" t="inlineStr">
        <is>
          <t>ERIC HARRISON</t>
        </is>
      </c>
      <c r="C444" s="80" t="inlineStr">
        <is>
          <t>Activ</t>
        </is>
      </c>
      <c r="D444" s="80" t="inlineStr">
        <is>
          <t>LISA LINDSEY</t>
        </is>
      </c>
      <c r="E444" s="80" t="inlineStr">
        <is>
          <t>CHARLES POWELL</t>
        </is>
      </c>
      <c r="F444" s="80" t="inlineStr">
        <is>
          <t>KIMBERLY CLARK</t>
        </is>
      </c>
      <c r="G444" s="80" t="inlineStr">
        <is>
          <t>CHARLES POWELL</t>
        </is>
      </c>
      <c r="H444" s="80" t="inlineStr">
        <is>
          <t>180-1</t>
        </is>
      </c>
      <c r="I444" s="111">
        <f>COUNTIF(Tower_3!G:G,'All Associates'!A444)+COUNTIF(Tower_4!G:G,'All Associates'!A444)+COUNTIF(Tower_5!G:G,'All Associates'!A444)+COUNTIF(Tower_6!G:G,'All Associates'!A444)+COUNTIF(Riviera_3!G:G,'All Associates'!A444)+COUNTIF(Riviera_4!G:G,'All Associates'!A444)+COUNTIF(Riviera_5!G:G,'All Associates'!A444)</f>
        <v/>
      </c>
      <c r="J444" s="112">
        <f>IF(I444=0,"Not Allocated",IF(I444=1,"Allocated","Duplicate"))</f>
        <v/>
      </c>
    </row>
    <row r="445" hidden="1">
      <c r="A445" s="83" t="n">
        <v>848</v>
      </c>
      <c r="B445" s="80" t="inlineStr">
        <is>
          <t>DOUGLAS FLORES</t>
        </is>
      </c>
      <c r="C445" s="80" t="inlineStr">
        <is>
          <t>Activ</t>
        </is>
      </c>
      <c r="D445" s="80" t="inlineStr">
        <is>
          <t>JASMINE JONES</t>
        </is>
      </c>
      <c r="E445" s="80" t="inlineStr">
        <is>
          <t>MARISSA CROSS</t>
        </is>
      </c>
      <c r="F445" s="80" t="inlineStr">
        <is>
          <t>KIMBERLY CLARK</t>
        </is>
      </c>
      <c r="G445" s="80" t="inlineStr">
        <is>
          <t>MARISSA CROSS</t>
        </is>
      </c>
      <c r="H445" s="80" t="inlineStr">
        <is>
          <t>220-2</t>
        </is>
      </c>
      <c r="I445" s="111">
        <f>COUNTIF(Tower_3!G:G,'All Associates'!A445)+COUNTIF(Tower_4!G:G,'All Associates'!A445)+COUNTIF(Tower_5!G:G,'All Associates'!A445)+COUNTIF(Tower_6!G:G,'All Associates'!A445)+COUNTIF(Riviera_3!G:G,'All Associates'!A445)+COUNTIF(Riviera_4!G:G,'All Associates'!A445)+COUNTIF(Riviera_5!G:G,'All Associates'!A445)</f>
        <v/>
      </c>
      <c r="J445" s="112">
        <f>IF(I445=0,"Not Allocated",IF(I445=1,"Allocated","Duplicate"))</f>
        <v/>
      </c>
    </row>
    <row r="446" hidden="1">
      <c r="A446" s="83" t="n">
        <v>1243</v>
      </c>
      <c r="B446" s="80" t="inlineStr">
        <is>
          <t>TYLER WILSON</t>
        </is>
      </c>
      <c r="C446" s="80" t="inlineStr">
        <is>
          <t>Activ</t>
        </is>
      </c>
      <c r="D446" s="80" t="inlineStr">
        <is>
          <t>ASHLEY FRENCH</t>
        </is>
      </c>
      <c r="E446" s="80" t="inlineStr">
        <is>
          <t>PHILLIP TRAVIS</t>
        </is>
      </c>
      <c r="F446" s="80" t="inlineStr">
        <is>
          <t>KIMBERLY CLARK</t>
        </is>
      </c>
      <c r="G446" s="80" t="inlineStr">
        <is>
          <t>PHILLIP TRAVIS</t>
        </is>
      </c>
      <c r="H446" s="80" t="inlineStr">
        <is>
          <t>156-1</t>
        </is>
      </c>
      <c r="I446" s="111">
        <f>COUNTIF(Tower_3!G:G,'All Associates'!A446)+COUNTIF(Tower_4!G:G,'All Associates'!A446)+COUNTIF(Tower_5!G:G,'All Associates'!A446)+COUNTIF(Tower_6!G:G,'All Associates'!A446)+COUNTIF(Riviera_3!G:G,'All Associates'!A446)+COUNTIF(Riviera_4!G:G,'All Associates'!A446)+COUNTIF(Riviera_5!G:G,'All Associates'!A446)</f>
        <v/>
      </c>
      <c r="J446" s="112">
        <f>IF(I446=0,"Not Allocated",IF(I446=1,"Allocated","Duplicate"))</f>
        <v/>
      </c>
    </row>
    <row r="447" hidden="1">
      <c r="A447" s="83" t="n">
        <v>1104</v>
      </c>
      <c r="B447" s="80" t="inlineStr">
        <is>
          <t>DENISE BRIDGES</t>
        </is>
      </c>
      <c r="C447" s="80" t="inlineStr">
        <is>
          <t>Activ</t>
        </is>
      </c>
      <c r="D447" s="80" t="inlineStr">
        <is>
          <t>ASHLEY FRENCH</t>
        </is>
      </c>
      <c r="E447" s="80" t="inlineStr">
        <is>
          <t>PHILLIP TRAVIS</t>
        </is>
      </c>
      <c r="F447" s="80" t="inlineStr">
        <is>
          <t>KIMBERLY CLARK</t>
        </is>
      </c>
      <c r="G447" s="80" t="inlineStr">
        <is>
          <t>PHILLIP TRAVIS</t>
        </is>
      </c>
      <c r="H447" s="80" t="inlineStr">
        <is>
          <t>156-1</t>
        </is>
      </c>
      <c r="I447" s="111">
        <f>COUNTIF(Tower_3!G:G,'All Associates'!A447)+COUNTIF(Tower_4!G:G,'All Associates'!A447)+COUNTIF(Tower_5!G:G,'All Associates'!A447)+COUNTIF(Tower_6!G:G,'All Associates'!A447)+COUNTIF(Riviera_3!G:G,'All Associates'!A447)+COUNTIF(Riviera_4!G:G,'All Associates'!A447)+COUNTIF(Riviera_5!G:G,'All Associates'!A447)</f>
        <v/>
      </c>
      <c r="J447" s="112">
        <f>IF(I447=0,"Not Allocated",IF(I447=1,"Allocated","Duplicate"))</f>
        <v/>
      </c>
    </row>
    <row r="448" hidden="1">
      <c r="A448" s="83" t="n">
        <v>1100</v>
      </c>
      <c r="B448" s="80" t="inlineStr">
        <is>
          <t>ALEXA MURPHY</t>
        </is>
      </c>
      <c r="C448" s="80" t="inlineStr">
        <is>
          <t>Activ</t>
        </is>
      </c>
      <c r="D448" s="80" t="inlineStr">
        <is>
          <t>STEPHEN GARCIA</t>
        </is>
      </c>
      <c r="E448" s="80" t="inlineStr">
        <is>
          <t>NATHAN HAMILTON</t>
        </is>
      </c>
      <c r="F448" s="80" t="inlineStr">
        <is>
          <t>KIMBERLY CLARK</t>
        </is>
      </c>
      <c r="G448" s="80" t="inlineStr">
        <is>
          <t>NATHAN HAMILTON</t>
        </is>
      </c>
      <c r="H448" s="80" t="inlineStr">
        <is>
          <t>221-1</t>
        </is>
      </c>
      <c r="I448" s="111">
        <f>COUNTIF(Tower_3!G:G,'All Associates'!A448)+COUNTIF(Tower_4!G:G,'All Associates'!A448)+COUNTIF(Tower_5!G:G,'All Associates'!A448)+COUNTIF(Tower_6!G:G,'All Associates'!A448)+COUNTIF(Riviera_3!G:G,'All Associates'!A448)+COUNTIF(Riviera_4!G:G,'All Associates'!A448)+COUNTIF(Riviera_5!G:G,'All Associates'!A448)</f>
        <v/>
      </c>
      <c r="J448" s="112">
        <f>IF(I448=0,"Not Allocated",IF(I448=1,"Allocated","Duplicate"))</f>
        <v/>
      </c>
    </row>
    <row r="449" hidden="1">
      <c r="A449" s="83" t="n">
        <v>645</v>
      </c>
      <c r="B449" s="80" t="inlineStr">
        <is>
          <t>ANDREW COMPTON</t>
        </is>
      </c>
      <c r="C449" s="80" t="inlineStr">
        <is>
          <t>Activ</t>
        </is>
      </c>
      <c r="D449" s="80" t="inlineStr">
        <is>
          <t>THERESA HENRY</t>
        </is>
      </c>
      <c r="E449" s="80" t="inlineStr">
        <is>
          <t>ASHLEY FRENCH</t>
        </is>
      </c>
      <c r="F449" s="80" t="inlineStr">
        <is>
          <t>PHILLIP TRAVIS</t>
        </is>
      </c>
      <c r="G449" s="80" t="inlineStr">
        <is>
          <t>PHILLIP TRAVIS</t>
        </is>
      </c>
      <c r="H449" s="80" t="inlineStr">
        <is>
          <t>156-1</t>
        </is>
      </c>
      <c r="I449" s="111">
        <f>COUNTIF(Tower_3!G:G,'All Associates'!A449)+COUNTIF(Tower_4!G:G,'All Associates'!A449)+COUNTIF(Tower_5!G:G,'All Associates'!A449)+COUNTIF(Tower_6!G:G,'All Associates'!A449)+COUNTIF(Riviera_3!G:G,'All Associates'!A449)+COUNTIF(Riviera_4!G:G,'All Associates'!A449)+COUNTIF(Riviera_5!G:G,'All Associates'!A449)</f>
        <v/>
      </c>
      <c r="J449" s="112">
        <f>IF(I449=0,"Not Allocated",IF(I449=1,"Allocated","Duplicate"))</f>
        <v/>
      </c>
    </row>
    <row r="450" hidden="1">
      <c r="A450" s="83" t="n">
        <v>240</v>
      </c>
      <c r="B450" s="80" t="inlineStr">
        <is>
          <t>JAMES MCNEIL</t>
        </is>
      </c>
      <c r="C450" s="80" t="inlineStr">
        <is>
          <t>Activ</t>
        </is>
      </c>
      <c r="D450" s="80" t="inlineStr">
        <is>
          <t>LARRY KIM</t>
        </is>
      </c>
      <c r="E450" s="80" t="inlineStr">
        <is>
          <t>KENNETH CONRAD</t>
        </is>
      </c>
      <c r="F450" s="80" t="inlineStr">
        <is>
          <t>KIMBERLY CLARK</t>
        </is>
      </c>
      <c r="G450" s="80" t="inlineStr">
        <is>
          <t>KENNETH CONRAD</t>
        </is>
      </c>
      <c r="H450" s="80" t="inlineStr">
        <is>
          <t>127-1</t>
        </is>
      </c>
      <c r="I450" s="111">
        <f>COUNTIF(Tower_3!G:G,'All Associates'!A450)+COUNTIF(Tower_4!G:G,'All Associates'!A450)+COUNTIF(Tower_5!G:G,'All Associates'!A450)+COUNTIF(Tower_6!G:G,'All Associates'!A450)+COUNTIF(Riviera_3!G:G,'All Associates'!A450)+COUNTIF(Riviera_4!G:G,'All Associates'!A450)+COUNTIF(Riviera_5!G:G,'All Associates'!A450)</f>
        <v/>
      </c>
      <c r="J450" s="112">
        <f>IF(I450=0,"Not Allocated",IF(I450=1,"Allocated","Duplicate"))</f>
        <v/>
      </c>
    </row>
    <row r="451" hidden="1">
      <c r="A451" s="83" t="n">
        <v>1016</v>
      </c>
      <c r="B451" s="80" t="inlineStr">
        <is>
          <t>REBECCA JIMENEZ</t>
        </is>
      </c>
      <c r="C451" s="80" t="inlineStr">
        <is>
          <t>Activ</t>
        </is>
      </c>
      <c r="D451" s="80" t="inlineStr">
        <is>
          <t>KATHERINE ANDREWS</t>
        </is>
      </c>
      <c r="E451" s="80" t="inlineStr">
        <is>
          <t>CHAD PEREZ</t>
        </is>
      </c>
      <c r="F451" s="80" t="inlineStr">
        <is>
          <t>MARISSA CROSS</t>
        </is>
      </c>
      <c r="G451" s="80" t="inlineStr">
        <is>
          <t>MARISSA CROSS</t>
        </is>
      </c>
      <c r="H451" s="80" t="inlineStr">
        <is>
          <t>220-2</t>
        </is>
      </c>
      <c r="I451" s="111">
        <f>COUNTIF(Tower_3!G:G,'All Associates'!A451)+COUNTIF(Tower_4!G:G,'All Associates'!A451)+COUNTIF(Tower_5!G:G,'All Associates'!A451)+COUNTIF(Tower_6!G:G,'All Associates'!A451)+COUNTIF(Riviera_3!G:G,'All Associates'!A451)+COUNTIF(Riviera_4!G:G,'All Associates'!A451)+COUNTIF(Riviera_5!G:G,'All Associates'!A451)</f>
        <v/>
      </c>
      <c r="J451" s="112">
        <f>IF(I451=0,"Not Allocated",IF(I451=1,"Allocated","Duplicate"))</f>
        <v/>
      </c>
    </row>
    <row r="452" hidden="1">
      <c r="A452" s="83" t="n">
        <v>342</v>
      </c>
      <c r="B452" s="80" t="inlineStr">
        <is>
          <t>BETHANY VILLARREAL</t>
        </is>
      </c>
      <c r="C452" s="80" t="inlineStr">
        <is>
          <t>Activ</t>
        </is>
      </c>
      <c r="D452" s="80" t="inlineStr">
        <is>
          <t>ALEXANDER BAUTISTA</t>
        </is>
      </c>
      <c r="E452" s="80" t="inlineStr">
        <is>
          <t>HEATHER SOLIS</t>
        </is>
      </c>
      <c r="F452" s="80" t="inlineStr">
        <is>
          <t>KIMBERLY CLARK</t>
        </is>
      </c>
      <c r="G452" s="80" t="inlineStr">
        <is>
          <t>HEATHER SOLIS</t>
        </is>
      </c>
      <c r="H452" s="80" t="inlineStr">
        <is>
          <t>138-1</t>
        </is>
      </c>
      <c r="I452" s="111">
        <f>COUNTIF(Tower_3!G:G,'All Associates'!A452)+COUNTIF(Tower_4!G:G,'All Associates'!A452)+COUNTIF(Tower_5!G:G,'All Associates'!A452)+COUNTIF(Tower_6!G:G,'All Associates'!A452)+COUNTIF(Riviera_3!G:G,'All Associates'!A452)+COUNTIF(Riviera_4!G:G,'All Associates'!A452)+COUNTIF(Riviera_5!G:G,'All Associates'!A452)</f>
        <v/>
      </c>
      <c r="J452" s="112">
        <f>IF(I452=0,"Not Allocated",IF(I452=1,"Allocated","Duplicate"))</f>
        <v/>
      </c>
    </row>
    <row r="453" hidden="1">
      <c r="A453" s="83" t="n">
        <v>753</v>
      </c>
      <c r="B453" s="80" t="inlineStr">
        <is>
          <t>MS. COURTNEY VASQUEZ</t>
        </is>
      </c>
      <c r="C453" s="80" t="inlineStr">
        <is>
          <t>Activ</t>
        </is>
      </c>
      <c r="D453" s="80" t="inlineStr">
        <is>
          <t>DENNIS AGUIRRE</t>
        </is>
      </c>
      <c r="E453" s="80" t="inlineStr">
        <is>
          <t>ADAM SMITH</t>
        </is>
      </c>
      <c r="F453" s="80" t="inlineStr">
        <is>
          <t>PHILLIP TRAVIS</t>
        </is>
      </c>
      <c r="G453" s="80" t="inlineStr">
        <is>
          <t>PHILLIP TRAVIS</t>
        </is>
      </c>
      <c r="H453" s="80" t="inlineStr">
        <is>
          <t>156-1</t>
        </is>
      </c>
      <c r="I453" s="111">
        <f>COUNTIF(Tower_3!G:G,'All Associates'!A453)+COUNTIF(Tower_4!G:G,'All Associates'!A453)+COUNTIF(Tower_5!G:G,'All Associates'!A453)+COUNTIF(Tower_6!G:G,'All Associates'!A453)+COUNTIF(Riviera_3!G:G,'All Associates'!A453)+COUNTIF(Riviera_4!G:G,'All Associates'!A453)+COUNTIF(Riviera_5!G:G,'All Associates'!A453)</f>
        <v/>
      </c>
      <c r="J453" s="112">
        <f>IF(I453=0,"Not Allocated",IF(I453=1,"Allocated","Duplicate"))</f>
        <v/>
      </c>
    </row>
    <row r="454" hidden="1">
      <c r="A454" s="83" t="n">
        <v>1190</v>
      </c>
      <c r="B454" s="80" t="inlineStr">
        <is>
          <t>KENNETH REYES</t>
        </is>
      </c>
      <c r="C454" s="80" t="inlineStr">
        <is>
          <t>Activ</t>
        </is>
      </c>
      <c r="D454" s="80" t="inlineStr">
        <is>
          <t>LESLIE DIAZ</t>
        </is>
      </c>
      <c r="E454" s="80" t="inlineStr">
        <is>
          <t>ALEXANDER BAUTISTA</t>
        </is>
      </c>
      <c r="F454" s="80" t="inlineStr">
        <is>
          <t>HEATHER SOLIS</t>
        </is>
      </c>
      <c r="G454" s="80" t="inlineStr">
        <is>
          <t>HEATHER SOLIS</t>
        </is>
      </c>
      <c r="H454" s="80" t="inlineStr">
        <is>
          <t>138-1</t>
        </is>
      </c>
      <c r="I454" s="111">
        <f>COUNTIF(Tower_3!G:G,'All Associates'!A454)+COUNTIF(Tower_4!G:G,'All Associates'!A454)+COUNTIF(Tower_5!G:G,'All Associates'!A454)+COUNTIF(Tower_6!G:G,'All Associates'!A454)+COUNTIF(Riviera_3!G:G,'All Associates'!A454)+COUNTIF(Riviera_4!G:G,'All Associates'!A454)+COUNTIF(Riviera_5!G:G,'All Associates'!A454)</f>
        <v/>
      </c>
      <c r="J454" s="112">
        <f>IF(I454=0,"Not Allocated",IF(I454=1,"Allocated","Duplicate"))</f>
        <v/>
      </c>
    </row>
    <row r="455" hidden="1">
      <c r="A455" s="83" t="n">
        <v>1198</v>
      </c>
      <c r="B455" s="80" t="inlineStr">
        <is>
          <t>MARIA TURNER</t>
        </is>
      </c>
      <c r="C455" s="80" t="inlineStr">
        <is>
          <t>Activ</t>
        </is>
      </c>
      <c r="D455" s="80" t="inlineStr">
        <is>
          <t>KATHERINE ANDREWS</t>
        </is>
      </c>
      <c r="E455" s="80" t="inlineStr">
        <is>
          <t>CHAD PEREZ</t>
        </is>
      </c>
      <c r="F455" s="80" t="inlineStr">
        <is>
          <t>MARISSA CROSS</t>
        </is>
      </c>
      <c r="G455" s="80" t="inlineStr">
        <is>
          <t>MARISSA CROSS</t>
        </is>
      </c>
      <c r="H455" s="80" t="inlineStr">
        <is>
          <t>220-2</t>
        </is>
      </c>
      <c r="I455" s="111">
        <f>COUNTIF(Tower_3!G:G,'All Associates'!A455)+COUNTIF(Tower_4!G:G,'All Associates'!A455)+COUNTIF(Tower_5!G:G,'All Associates'!A455)+COUNTIF(Tower_6!G:G,'All Associates'!A455)+COUNTIF(Riviera_3!G:G,'All Associates'!A455)+COUNTIF(Riviera_4!G:G,'All Associates'!A455)+COUNTIF(Riviera_5!G:G,'All Associates'!A455)</f>
        <v/>
      </c>
      <c r="J455" s="112">
        <f>IF(I455=0,"Not Allocated",IF(I455=1,"Allocated","Duplicate"))</f>
        <v/>
      </c>
    </row>
    <row r="456" hidden="1">
      <c r="A456" s="83" t="n">
        <v>366</v>
      </c>
      <c r="B456" s="80" t="inlineStr">
        <is>
          <t>JULIA DAY</t>
        </is>
      </c>
      <c r="C456" s="80" t="inlineStr">
        <is>
          <t>Activ</t>
        </is>
      </c>
      <c r="D456" s="80" t="inlineStr">
        <is>
          <t>STEPHANIE WEAVER</t>
        </is>
      </c>
      <c r="E456" s="80" t="inlineStr">
        <is>
          <t>MARISSA CROSS</t>
        </is>
      </c>
      <c r="F456" s="80" t="inlineStr">
        <is>
          <t>KIMBERLY CLARK</t>
        </is>
      </c>
      <c r="G456" s="80" t="inlineStr">
        <is>
          <t>MARISSA CROSS</t>
        </is>
      </c>
      <c r="H456" s="80" t="inlineStr">
        <is>
          <t>220-2</t>
        </is>
      </c>
      <c r="I456" s="111">
        <f>COUNTIF(Tower_3!G:G,'All Associates'!A456)+COUNTIF(Tower_4!G:G,'All Associates'!A456)+COUNTIF(Tower_5!G:G,'All Associates'!A456)+COUNTIF(Tower_6!G:G,'All Associates'!A456)+COUNTIF(Riviera_3!G:G,'All Associates'!A456)+COUNTIF(Riviera_4!G:G,'All Associates'!A456)+COUNTIF(Riviera_5!G:G,'All Associates'!A456)</f>
        <v/>
      </c>
      <c r="J456" s="112">
        <f>IF(I456=0,"Not Allocated",IF(I456=1,"Allocated","Duplicate"))</f>
        <v/>
      </c>
    </row>
    <row r="457" hidden="1">
      <c r="A457" s="83" t="n">
        <v>268</v>
      </c>
      <c r="B457" s="80" t="inlineStr">
        <is>
          <t>SARAH EDWARDS</t>
        </is>
      </c>
      <c r="C457" s="80" t="inlineStr">
        <is>
          <t>Activ</t>
        </is>
      </c>
      <c r="D457" s="80" t="inlineStr">
        <is>
          <t>SUSAN RAY</t>
        </is>
      </c>
      <c r="E457" s="80" t="inlineStr">
        <is>
          <t>ALEXANDER MILLER</t>
        </is>
      </c>
      <c r="F457" s="80" t="inlineStr">
        <is>
          <t>KIMBERLY CLARK</t>
        </is>
      </c>
      <c r="G457" s="80" t="inlineStr">
        <is>
          <t>ALEXANDER MILLER</t>
        </is>
      </c>
      <c r="H457" s="80" t="inlineStr">
        <is>
          <t>196-1</t>
        </is>
      </c>
      <c r="I457" s="111">
        <f>COUNTIF(Tower_3!G:G,'All Associates'!A457)+COUNTIF(Tower_4!G:G,'All Associates'!A457)+COUNTIF(Tower_5!G:G,'All Associates'!A457)+COUNTIF(Tower_6!G:G,'All Associates'!A457)+COUNTIF(Riviera_3!G:G,'All Associates'!A457)+COUNTIF(Riviera_4!G:G,'All Associates'!A457)+COUNTIF(Riviera_5!G:G,'All Associates'!A457)</f>
        <v/>
      </c>
      <c r="J457" s="112">
        <f>IF(I457=0,"Not Allocated",IF(I457=1,"Allocated","Duplicate"))</f>
        <v/>
      </c>
    </row>
    <row r="458" hidden="1">
      <c r="A458" s="83" t="n">
        <v>833</v>
      </c>
      <c r="B458" s="80" t="inlineStr">
        <is>
          <t>AMY ADAMS</t>
        </is>
      </c>
      <c r="C458" s="80" t="inlineStr">
        <is>
          <t>Activ</t>
        </is>
      </c>
      <c r="D458" s="80" t="inlineStr">
        <is>
          <t>CURTIS BROWN JR.</t>
        </is>
      </c>
      <c r="E458" s="80" t="inlineStr">
        <is>
          <t>KIMBERLY CLARK</t>
        </is>
      </c>
      <c r="F458" s="80" t="inlineStr">
        <is>
          <t>KIMBERLY CLARK</t>
        </is>
      </c>
      <c r="G458" s="80" t="inlineStr">
        <is>
          <t>CURTIS BROWN JR.</t>
        </is>
      </c>
      <c r="H458" s="80" t="inlineStr">
        <is>
          <t>220-1</t>
        </is>
      </c>
      <c r="I458" s="111">
        <f>COUNTIF(Tower_3!G:G,'All Associates'!A458)+COUNTIF(Tower_4!G:G,'All Associates'!A458)+COUNTIF(Tower_5!G:G,'All Associates'!A458)+COUNTIF(Tower_6!G:G,'All Associates'!A458)+COUNTIF(Riviera_3!G:G,'All Associates'!A458)+COUNTIF(Riviera_4!G:G,'All Associates'!A458)+COUNTIF(Riviera_5!G:G,'All Associates'!A458)</f>
        <v/>
      </c>
      <c r="J458" s="112">
        <f>IF(I458=0,"Not Allocated",IF(I458=1,"Allocated","Duplicate"))</f>
        <v/>
      </c>
    </row>
    <row r="459" hidden="1">
      <c r="A459" s="83" t="n">
        <v>1023</v>
      </c>
      <c r="B459" s="80" t="inlineStr">
        <is>
          <t>FRANK JOHNSON</t>
        </is>
      </c>
      <c r="C459" s="80" t="inlineStr">
        <is>
          <t>Activ</t>
        </is>
      </c>
      <c r="D459" s="80" t="inlineStr">
        <is>
          <t>CURTIS BROWN JR.</t>
        </is>
      </c>
      <c r="E459" s="80" t="inlineStr">
        <is>
          <t>KIMBERLY CLARK</t>
        </is>
      </c>
      <c r="F459" s="80" t="inlineStr">
        <is>
          <t>KIMBERLY CLARK</t>
        </is>
      </c>
      <c r="G459" s="80" t="inlineStr">
        <is>
          <t>CURTIS BROWN JR.</t>
        </is>
      </c>
      <c r="H459" s="80" t="inlineStr">
        <is>
          <t>220-1</t>
        </is>
      </c>
      <c r="I459" s="111">
        <f>COUNTIF(Tower_3!G:G,'All Associates'!A459)+COUNTIF(Tower_4!G:G,'All Associates'!A459)+COUNTIF(Tower_5!G:G,'All Associates'!A459)+COUNTIF(Tower_6!G:G,'All Associates'!A459)+COUNTIF(Riviera_3!G:G,'All Associates'!A459)+COUNTIF(Riviera_4!G:G,'All Associates'!A459)+COUNTIF(Riviera_5!G:G,'All Associates'!A459)</f>
        <v/>
      </c>
      <c r="J459" s="112">
        <f>IF(I459=0,"Not Allocated",IF(I459=1,"Allocated","Duplicate"))</f>
        <v/>
      </c>
    </row>
    <row r="460" hidden="1">
      <c r="A460" s="83" t="n">
        <v>1159</v>
      </c>
      <c r="B460" s="80" t="inlineStr">
        <is>
          <t>AMBER RAMOS</t>
        </is>
      </c>
      <c r="C460" s="80" t="inlineStr">
        <is>
          <t>Activ</t>
        </is>
      </c>
      <c r="D460" s="80" t="inlineStr">
        <is>
          <t>AMY ROBERTS</t>
        </is>
      </c>
      <c r="E460" s="80" t="inlineStr">
        <is>
          <t>BETH TUCKER</t>
        </is>
      </c>
      <c r="F460" s="80" t="inlineStr">
        <is>
          <t>KIMBERLY CLARK</t>
        </is>
      </c>
      <c r="G460" s="80" t="inlineStr">
        <is>
          <t>KIMBERLY CLARK</t>
        </is>
      </c>
      <c r="H460" s="80" t="inlineStr">
        <is>
          <t>156-2</t>
        </is>
      </c>
      <c r="I460" s="111">
        <f>COUNTIF(Tower_3!G:G,'All Associates'!A460)+COUNTIF(Tower_4!G:G,'All Associates'!A460)+COUNTIF(Tower_5!G:G,'All Associates'!A460)+COUNTIF(Tower_6!G:G,'All Associates'!A460)+COUNTIF(Riviera_3!G:G,'All Associates'!A460)+COUNTIF(Riviera_4!G:G,'All Associates'!A460)+COUNTIF(Riviera_5!G:G,'All Associates'!A460)</f>
        <v/>
      </c>
      <c r="J460" s="112">
        <f>IF(I460=0,"Not Allocated",IF(I460=1,"Allocated","Duplicate"))</f>
        <v/>
      </c>
    </row>
    <row r="461" hidden="1">
      <c r="A461" s="83" t="n">
        <v>910</v>
      </c>
      <c r="B461" s="80" t="inlineStr">
        <is>
          <t>KELSEY HENRY</t>
        </is>
      </c>
      <c r="C461" s="80" t="inlineStr">
        <is>
          <t>Activ</t>
        </is>
      </c>
      <c r="D461" s="80" t="inlineStr">
        <is>
          <t>KENNETH DOUGHERTY</t>
        </is>
      </c>
      <c r="E461" s="80" t="inlineStr">
        <is>
          <t>CHELSEA CAMPBELL</t>
        </is>
      </c>
      <c r="F461" s="80" t="inlineStr">
        <is>
          <t>KENNETH CONRAD</t>
        </is>
      </c>
      <c r="G461" s="80" t="inlineStr">
        <is>
          <t>KENNETH CONRAD</t>
        </is>
      </c>
      <c r="H461" s="80" t="inlineStr">
        <is>
          <t>152-1</t>
        </is>
      </c>
      <c r="I461" s="111">
        <f>COUNTIF(Tower_3!G:G,'All Associates'!A461)+COUNTIF(Tower_4!G:G,'All Associates'!A461)+COUNTIF(Tower_5!G:G,'All Associates'!A461)+COUNTIF(Tower_6!G:G,'All Associates'!A461)+COUNTIF(Riviera_3!G:G,'All Associates'!A461)+COUNTIF(Riviera_4!G:G,'All Associates'!A461)+COUNTIF(Riviera_5!G:G,'All Associates'!A461)</f>
        <v/>
      </c>
      <c r="J461" s="112">
        <f>IF(I461=0,"Not Allocated",IF(I461=1,"Allocated","Duplicate"))</f>
        <v/>
      </c>
    </row>
    <row r="462" hidden="1">
      <c r="A462" s="83" t="n">
        <v>1181</v>
      </c>
      <c r="B462" s="80" t="inlineStr">
        <is>
          <t>SETH SMITH</t>
        </is>
      </c>
      <c r="C462" s="80" t="inlineStr">
        <is>
          <t>Activ</t>
        </is>
      </c>
      <c r="D462" s="80" t="inlineStr">
        <is>
          <t>NATHAN MURRAY</t>
        </is>
      </c>
      <c r="E462" s="80" t="inlineStr">
        <is>
          <t>CHARLES POWELL</t>
        </is>
      </c>
      <c r="F462" s="80" t="inlineStr">
        <is>
          <t>KIMBERLY CLARK</t>
        </is>
      </c>
      <c r="G462" s="80" t="inlineStr">
        <is>
          <t>CHARLES POWELL</t>
        </is>
      </c>
      <c r="H462" s="80" t="inlineStr">
        <is>
          <t>138-3</t>
        </is>
      </c>
      <c r="I462" s="111">
        <f>COUNTIF(Tower_3!G:G,'All Associates'!A462)+COUNTIF(Tower_4!G:G,'All Associates'!A462)+COUNTIF(Tower_5!G:G,'All Associates'!A462)+COUNTIF(Tower_6!G:G,'All Associates'!A462)+COUNTIF(Riviera_3!G:G,'All Associates'!A462)+COUNTIF(Riviera_4!G:G,'All Associates'!A462)+COUNTIF(Riviera_5!G:G,'All Associates'!A462)</f>
        <v/>
      </c>
      <c r="J462" s="112">
        <f>IF(I462=0,"Not Allocated",IF(I462=1,"Allocated","Duplicate"))</f>
        <v/>
      </c>
    </row>
    <row r="463" hidden="1">
      <c r="A463" s="83" t="n">
        <v>514</v>
      </c>
      <c r="B463" s="80" t="inlineStr">
        <is>
          <t>ERIN BALDWIN</t>
        </is>
      </c>
      <c r="C463" s="80" t="inlineStr">
        <is>
          <t>Activ</t>
        </is>
      </c>
      <c r="D463" s="80" t="inlineStr">
        <is>
          <t>CHELSEA CAMPBELL</t>
        </is>
      </c>
      <c r="E463" s="80" t="inlineStr">
        <is>
          <t>KENNETH CONRAD</t>
        </is>
      </c>
      <c r="F463" s="80" t="inlineStr">
        <is>
          <t>KIMBERLY CLARK</t>
        </is>
      </c>
      <c r="G463" s="80" t="inlineStr">
        <is>
          <t>KENNETH CONRAD</t>
        </is>
      </c>
      <c r="H463" s="80" t="inlineStr">
        <is>
          <t>133-1</t>
        </is>
      </c>
      <c r="I463" s="111">
        <f>COUNTIF(Tower_3!G:G,'All Associates'!A463)+COUNTIF(Tower_4!G:G,'All Associates'!A463)+COUNTIF(Tower_5!G:G,'All Associates'!A463)+COUNTIF(Tower_6!G:G,'All Associates'!A463)+COUNTIF(Riviera_3!G:G,'All Associates'!A463)+COUNTIF(Riviera_4!G:G,'All Associates'!A463)+COUNTIF(Riviera_5!G:G,'All Associates'!A463)</f>
        <v/>
      </c>
      <c r="J463" s="112">
        <f>IF(I463=0,"Not Allocated",IF(I463=1,"Allocated","Duplicate"))</f>
        <v/>
      </c>
    </row>
    <row r="464" hidden="1">
      <c r="A464" s="83" t="n">
        <v>1235</v>
      </c>
      <c r="B464" s="80" t="inlineStr">
        <is>
          <t>JAMIE STEWART</t>
        </is>
      </c>
      <c r="C464" s="80" t="inlineStr">
        <is>
          <t>Activ</t>
        </is>
      </c>
      <c r="D464" s="80" t="inlineStr">
        <is>
          <t>SUSAN RAY</t>
        </is>
      </c>
      <c r="E464" s="80" t="inlineStr">
        <is>
          <t>ALEXANDER MILLER</t>
        </is>
      </c>
      <c r="F464" s="80" t="inlineStr">
        <is>
          <t>KIMBERLY CLARK</t>
        </is>
      </c>
      <c r="G464" s="80" t="inlineStr">
        <is>
          <t>ALEXANDER MILLER</t>
        </is>
      </c>
      <c r="H464" s="80" t="inlineStr">
        <is>
          <t>196-1</t>
        </is>
      </c>
      <c r="I464" s="111">
        <f>COUNTIF(Tower_3!G:G,'All Associates'!A464)+COUNTIF(Tower_4!G:G,'All Associates'!A464)+COUNTIF(Tower_5!G:G,'All Associates'!A464)+COUNTIF(Tower_6!G:G,'All Associates'!A464)+COUNTIF(Riviera_3!G:G,'All Associates'!A464)+COUNTIF(Riviera_4!G:G,'All Associates'!A464)+COUNTIF(Riviera_5!G:G,'All Associates'!A464)</f>
        <v/>
      </c>
      <c r="J464" s="112">
        <f>IF(I464=0,"Not Allocated",IF(I464=1,"Allocated","Duplicate"))</f>
        <v/>
      </c>
    </row>
    <row r="465" hidden="1">
      <c r="A465" s="83" t="n">
        <v>1026</v>
      </c>
      <c r="B465" s="80" t="inlineStr">
        <is>
          <t>DONNA DAVIS</t>
        </is>
      </c>
      <c r="C465" s="80" t="inlineStr">
        <is>
          <t>Activ</t>
        </is>
      </c>
      <c r="D465" s="80" t="inlineStr">
        <is>
          <t>LISA KIM</t>
        </is>
      </c>
      <c r="E465" s="80" t="inlineStr">
        <is>
          <t>OSCAR TYLER</t>
        </is>
      </c>
      <c r="F465" s="80" t="inlineStr">
        <is>
          <t>KENNETH CONRAD</t>
        </is>
      </c>
      <c r="G465" s="80" t="inlineStr">
        <is>
          <t>KENNETH CONRAD</t>
        </is>
      </c>
      <c r="H465" s="80" t="inlineStr">
        <is>
          <t>127-1</t>
        </is>
      </c>
      <c r="I465" s="111">
        <f>COUNTIF(Tower_3!G:G,'All Associates'!A465)+COUNTIF(Tower_4!G:G,'All Associates'!A465)+COUNTIF(Tower_5!G:G,'All Associates'!A465)+COUNTIF(Tower_6!G:G,'All Associates'!A465)+COUNTIF(Riviera_3!G:G,'All Associates'!A465)+COUNTIF(Riviera_4!G:G,'All Associates'!A465)+COUNTIF(Riviera_5!G:G,'All Associates'!A465)</f>
        <v/>
      </c>
      <c r="J465" s="112">
        <f>IF(I465=0,"Not Allocated",IF(I465=1,"Allocated","Duplicate"))</f>
        <v/>
      </c>
    </row>
    <row r="466" hidden="1">
      <c r="A466" s="83" t="n">
        <v>965</v>
      </c>
      <c r="B466" s="80" t="inlineStr">
        <is>
          <t>JARED SUTTON</t>
        </is>
      </c>
      <c r="C466" s="80" t="inlineStr">
        <is>
          <t>Activ</t>
        </is>
      </c>
      <c r="D466" s="80" t="inlineStr">
        <is>
          <t>DANIEL TAYLOR</t>
        </is>
      </c>
      <c r="E466" s="80" t="inlineStr">
        <is>
          <t>REBECCA VAUGHN</t>
        </is>
      </c>
      <c r="F466" s="80" t="inlineStr">
        <is>
          <t>MR. MICHAEL KELLY</t>
        </is>
      </c>
      <c r="G466" s="80" t="inlineStr">
        <is>
          <t>HEATHER SOLIS</t>
        </is>
      </c>
      <c r="H466" s="80" t="inlineStr">
        <is>
          <t>138-2</t>
        </is>
      </c>
      <c r="I466" s="111">
        <f>COUNTIF(Tower_3!G:G,'All Associates'!A466)+COUNTIF(Tower_4!G:G,'All Associates'!A466)+COUNTIF(Tower_5!G:G,'All Associates'!A466)+COUNTIF(Tower_6!G:G,'All Associates'!A466)+COUNTIF(Riviera_3!G:G,'All Associates'!A466)+COUNTIF(Riviera_4!G:G,'All Associates'!A466)+COUNTIF(Riviera_5!G:G,'All Associates'!A466)</f>
        <v/>
      </c>
      <c r="J466" s="112">
        <f>IF(I466=0,"Not Allocated",IF(I466=1,"Allocated","Duplicate"))</f>
        <v/>
      </c>
    </row>
    <row r="467" hidden="1">
      <c r="A467" s="83" t="n">
        <v>343</v>
      </c>
      <c r="B467" s="80" t="inlineStr">
        <is>
          <t>ADRIAN MULLINS</t>
        </is>
      </c>
      <c r="C467" s="80" t="inlineStr">
        <is>
          <t>Activ</t>
        </is>
      </c>
      <c r="D467" s="80" t="inlineStr">
        <is>
          <t>MARISSA CROSS</t>
        </is>
      </c>
      <c r="E467" s="80" t="inlineStr">
        <is>
          <t>KIMBERLY CLARK</t>
        </is>
      </c>
      <c r="F467" s="80" t="inlineStr">
        <is>
          <t>KIMBERLY CLARK</t>
        </is>
      </c>
      <c r="G467" s="80" t="inlineStr">
        <is>
          <t>MARISSA CROSS</t>
        </is>
      </c>
      <c r="H467" s="80" t="inlineStr">
        <is>
          <t>220-2</t>
        </is>
      </c>
      <c r="I467" s="111">
        <f>COUNTIF(Tower_3!G:G,'All Associates'!A467)+COUNTIF(Tower_4!G:G,'All Associates'!A467)+COUNTIF(Tower_5!G:G,'All Associates'!A467)+COUNTIF(Tower_6!G:G,'All Associates'!A467)+COUNTIF(Riviera_3!G:G,'All Associates'!A467)+COUNTIF(Riviera_4!G:G,'All Associates'!A467)+COUNTIF(Riviera_5!G:G,'All Associates'!A467)</f>
        <v/>
      </c>
      <c r="J467" s="112">
        <f>IF(I467=0,"Not Allocated",IF(I467=1,"Allocated","Duplicate"))</f>
        <v/>
      </c>
    </row>
    <row r="468" hidden="1">
      <c r="A468" s="83" t="n">
        <v>1143</v>
      </c>
      <c r="B468" s="80" t="inlineStr">
        <is>
          <t>JONATHAN RHODES</t>
        </is>
      </c>
      <c r="C468" s="80" t="inlineStr">
        <is>
          <t>Activ</t>
        </is>
      </c>
      <c r="D468" s="80" t="inlineStr">
        <is>
          <t>DAVID HARTMAN</t>
        </is>
      </c>
      <c r="E468" s="80" t="inlineStr">
        <is>
          <t>STEPHANIE WEAVER</t>
        </is>
      </c>
      <c r="F468" s="80" t="inlineStr">
        <is>
          <t>MARISSA CROSS</t>
        </is>
      </c>
      <c r="G468" s="80" t="inlineStr">
        <is>
          <t>MARISSA CROSS</t>
        </is>
      </c>
      <c r="H468" s="80" t="inlineStr">
        <is>
          <t>220-2</t>
        </is>
      </c>
      <c r="I468" s="111">
        <f>COUNTIF(Tower_3!G:G,'All Associates'!A468)+COUNTIF(Tower_4!G:G,'All Associates'!A468)+COUNTIF(Tower_5!G:G,'All Associates'!A468)+COUNTIF(Tower_6!G:G,'All Associates'!A468)+COUNTIF(Riviera_3!G:G,'All Associates'!A468)+COUNTIF(Riviera_4!G:G,'All Associates'!A468)+COUNTIF(Riviera_5!G:G,'All Associates'!A468)</f>
        <v/>
      </c>
      <c r="J468" s="112">
        <f>IF(I468=0,"Not Allocated",IF(I468=1,"Allocated","Duplicate"))</f>
        <v/>
      </c>
    </row>
    <row r="469" hidden="1">
      <c r="A469" s="83" t="n">
        <v>1134</v>
      </c>
      <c r="B469" s="80" t="inlineStr">
        <is>
          <t>VANESSA EVANS</t>
        </is>
      </c>
      <c r="C469" s="80" t="inlineStr">
        <is>
          <t>Activ</t>
        </is>
      </c>
      <c r="D469" s="80" t="inlineStr">
        <is>
          <t>RHONDA WILLIAMS</t>
        </is>
      </c>
      <c r="E469" s="80" t="inlineStr">
        <is>
          <t>CHARLES POWELL</t>
        </is>
      </c>
      <c r="F469" s="80" t="inlineStr">
        <is>
          <t>KIMBERLY CLARK</t>
        </is>
      </c>
      <c r="G469" s="80" t="inlineStr">
        <is>
          <t>CHARLES POWELL</t>
        </is>
      </c>
      <c r="H469" s="80" t="inlineStr">
        <is>
          <t>138-3</t>
        </is>
      </c>
      <c r="I469" s="111">
        <f>COUNTIF(Tower_3!G:G,'All Associates'!A469)+COUNTIF(Tower_4!G:G,'All Associates'!A469)+COUNTIF(Tower_5!G:G,'All Associates'!A469)+COUNTIF(Tower_6!G:G,'All Associates'!A469)+COUNTIF(Riviera_3!G:G,'All Associates'!A469)+COUNTIF(Riviera_4!G:G,'All Associates'!A469)+COUNTIF(Riviera_5!G:G,'All Associates'!A469)</f>
        <v/>
      </c>
      <c r="J469" s="112">
        <f>IF(I469=0,"Not Allocated",IF(I469=1,"Allocated","Duplicate"))</f>
        <v/>
      </c>
    </row>
    <row r="470" hidden="1">
      <c r="A470" s="83" t="n">
        <v>809</v>
      </c>
      <c r="B470" s="80" t="inlineStr">
        <is>
          <t>CATHERINE DAVID</t>
        </is>
      </c>
      <c r="C470" s="80" t="inlineStr">
        <is>
          <t>Activ</t>
        </is>
      </c>
      <c r="D470" s="80" t="inlineStr">
        <is>
          <t>JEFFERY MOYER</t>
        </is>
      </c>
      <c r="E470" s="80" t="inlineStr">
        <is>
          <t>KENNETH CONRAD</t>
        </is>
      </c>
      <c r="F470" s="80" t="inlineStr">
        <is>
          <t>KIMBERLY CLARK</t>
        </is>
      </c>
      <c r="G470" s="80" t="inlineStr">
        <is>
          <t>KENNETH CONRAD</t>
        </is>
      </c>
      <c r="H470" s="80" t="inlineStr">
        <is>
          <t>133-1</t>
        </is>
      </c>
      <c r="I470" s="111">
        <f>COUNTIF(Tower_3!G:G,'All Associates'!A470)+COUNTIF(Tower_4!G:G,'All Associates'!A470)+COUNTIF(Tower_5!G:G,'All Associates'!A470)+COUNTIF(Tower_6!G:G,'All Associates'!A470)+COUNTIF(Riviera_3!G:G,'All Associates'!A470)+COUNTIF(Riviera_4!G:G,'All Associates'!A470)+COUNTIF(Riviera_5!G:G,'All Associates'!A470)</f>
        <v/>
      </c>
      <c r="J470" s="112">
        <f>IF(I470=0,"Not Allocated",IF(I470=1,"Allocated","Duplicate"))</f>
        <v/>
      </c>
    </row>
    <row r="471" hidden="1">
      <c r="A471" s="83" t="n">
        <v>1001</v>
      </c>
      <c r="B471" s="80" t="inlineStr">
        <is>
          <t>JULIE ORTEGA</t>
        </is>
      </c>
      <c r="C471" s="80" t="inlineStr">
        <is>
          <t>Activ</t>
        </is>
      </c>
      <c r="D471" s="80" t="inlineStr">
        <is>
          <t>MR. MICHAEL KELLY</t>
        </is>
      </c>
      <c r="E471" s="80" t="inlineStr">
        <is>
          <t>HEATHER SOLIS</t>
        </is>
      </c>
      <c r="F471" s="80" t="inlineStr">
        <is>
          <t>KIMBERLY CLARK</t>
        </is>
      </c>
      <c r="G471" s="80" t="inlineStr">
        <is>
          <t>HEATHER SOLIS</t>
        </is>
      </c>
      <c r="H471" s="80" t="inlineStr">
        <is>
          <t>138-2</t>
        </is>
      </c>
      <c r="I471" s="111">
        <f>COUNTIF(Tower_3!G:G,'All Associates'!A471)+COUNTIF(Tower_4!G:G,'All Associates'!A471)+COUNTIF(Tower_5!G:G,'All Associates'!A471)+COUNTIF(Tower_6!G:G,'All Associates'!A471)+COUNTIF(Riviera_3!G:G,'All Associates'!A471)+COUNTIF(Riviera_4!G:G,'All Associates'!A471)+COUNTIF(Riviera_5!G:G,'All Associates'!A471)</f>
        <v/>
      </c>
      <c r="J471" s="112">
        <f>IF(I471=0,"Not Allocated",IF(I471=1,"Allocated","Duplicate"))</f>
        <v/>
      </c>
    </row>
    <row r="472" hidden="1">
      <c r="A472" s="83" t="n">
        <v>815</v>
      </c>
      <c r="B472" s="80" t="inlineStr">
        <is>
          <t>ALEXANDER RAMIREZ</t>
        </is>
      </c>
      <c r="C472" s="80" t="inlineStr">
        <is>
          <t>Activ</t>
        </is>
      </c>
      <c r="D472" s="80" t="inlineStr">
        <is>
          <t>JAMES EDWARDS</t>
        </is>
      </c>
      <c r="E472" s="80" t="inlineStr">
        <is>
          <t>DR. DIANA CARROLL</t>
        </is>
      </c>
      <c r="F472" s="80" t="inlineStr">
        <is>
          <t>HEATHER SOLIS</t>
        </is>
      </c>
      <c r="G472" s="80" t="inlineStr">
        <is>
          <t>HEATHER SOLIS</t>
        </is>
      </c>
      <c r="H472" s="80" t="inlineStr">
        <is>
          <t>138-1</t>
        </is>
      </c>
      <c r="I472" s="111">
        <f>COUNTIF(Tower_3!G:G,'All Associates'!A472)+COUNTIF(Tower_4!G:G,'All Associates'!A472)+COUNTIF(Tower_5!G:G,'All Associates'!A472)+COUNTIF(Tower_6!G:G,'All Associates'!A472)+COUNTIF(Riviera_3!G:G,'All Associates'!A472)+COUNTIF(Riviera_4!G:G,'All Associates'!A472)+COUNTIF(Riviera_5!G:G,'All Associates'!A472)</f>
        <v/>
      </c>
      <c r="J472" s="112">
        <f>IF(I472=0,"Not Allocated",IF(I472=1,"Allocated","Duplicate"))</f>
        <v/>
      </c>
    </row>
    <row r="473" hidden="1">
      <c r="A473" s="83" t="n">
        <v>800</v>
      </c>
      <c r="B473" s="80" t="inlineStr">
        <is>
          <t>MR. CHRISTOPHER BROOKS</t>
        </is>
      </c>
      <c r="C473" s="80" t="inlineStr">
        <is>
          <t>Activ</t>
        </is>
      </c>
      <c r="D473" s="80" t="inlineStr">
        <is>
          <t>AMY ACOSTA</t>
        </is>
      </c>
      <c r="E473" s="80" t="inlineStr">
        <is>
          <t>MARISSA CROSS</t>
        </is>
      </c>
      <c r="F473" s="80" t="inlineStr">
        <is>
          <t>KIMBERLY CLARK</t>
        </is>
      </c>
      <c r="G473" s="80" t="inlineStr">
        <is>
          <t>MARISSA CROSS</t>
        </is>
      </c>
      <c r="H473" s="80" t="inlineStr">
        <is>
          <t>220-2</t>
        </is>
      </c>
      <c r="I473" s="111">
        <f>COUNTIF(Tower_3!G:G,'All Associates'!A473)+COUNTIF(Tower_4!G:G,'All Associates'!A473)+COUNTIF(Tower_5!G:G,'All Associates'!A473)+COUNTIF(Tower_6!G:G,'All Associates'!A473)+COUNTIF(Riviera_3!G:G,'All Associates'!A473)+COUNTIF(Riviera_4!G:G,'All Associates'!A473)+COUNTIF(Riviera_5!G:G,'All Associates'!A473)</f>
        <v/>
      </c>
      <c r="J473" s="112">
        <f>IF(I473=0,"Not Allocated",IF(I473=1,"Allocated","Duplicate"))</f>
        <v/>
      </c>
    </row>
    <row r="474" hidden="1">
      <c r="A474" s="83" t="n">
        <v>963</v>
      </c>
      <c r="B474" s="80" t="inlineStr">
        <is>
          <t>KATHY WILLIAMS</t>
        </is>
      </c>
      <c r="C474" s="80" t="inlineStr">
        <is>
          <t>Activ</t>
        </is>
      </c>
      <c r="D474" s="80" t="inlineStr">
        <is>
          <t>JULIE SANCHEZ</t>
        </is>
      </c>
      <c r="E474" s="80" t="inlineStr">
        <is>
          <t>LARRY KIM</t>
        </is>
      </c>
      <c r="F474" s="80" t="inlineStr">
        <is>
          <t>KENNETH CONRAD</t>
        </is>
      </c>
      <c r="G474" s="80" t="inlineStr">
        <is>
          <t>KENNETH CONRAD</t>
        </is>
      </c>
      <c r="H474" s="80" t="inlineStr">
        <is>
          <t>127-1</t>
        </is>
      </c>
      <c r="I474" s="111">
        <f>COUNTIF(Tower_3!G:G,'All Associates'!A474)+COUNTIF(Tower_4!G:G,'All Associates'!A474)+COUNTIF(Tower_5!G:G,'All Associates'!A474)+COUNTIF(Tower_6!G:G,'All Associates'!A474)+COUNTIF(Riviera_3!G:G,'All Associates'!A474)+COUNTIF(Riviera_4!G:G,'All Associates'!A474)+COUNTIF(Riviera_5!G:G,'All Associates'!A474)</f>
        <v/>
      </c>
      <c r="J474" s="112">
        <f>IF(I474=0,"Not Allocated",IF(I474=1,"Allocated","Duplicate"))</f>
        <v/>
      </c>
    </row>
    <row r="475" hidden="1">
      <c r="A475" s="83" t="n">
        <v>1102</v>
      </c>
      <c r="B475" s="80" t="inlineStr">
        <is>
          <t>MICHAEL POWELL</t>
        </is>
      </c>
      <c r="C475" s="80" t="inlineStr">
        <is>
          <t>Activ</t>
        </is>
      </c>
      <c r="D475" s="80" t="inlineStr">
        <is>
          <t>JEREMIAH ROBLES</t>
        </is>
      </c>
      <c r="E475" s="80" t="inlineStr">
        <is>
          <t>BETH TUCKER</t>
        </is>
      </c>
      <c r="F475" s="80" t="inlineStr">
        <is>
          <t>KIMBERLY CLARK</t>
        </is>
      </c>
      <c r="G475" s="80" t="inlineStr">
        <is>
          <t>KIMBERLY CLARK</t>
        </is>
      </c>
      <c r="H475" s="80" t="inlineStr">
        <is>
          <t>156-2</t>
        </is>
      </c>
      <c r="I475" s="111">
        <f>COUNTIF(Tower_3!G:G,'All Associates'!A475)+COUNTIF(Tower_4!G:G,'All Associates'!A475)+COUNTIF(Tower_5!G:G,'All Associates'!A475)+COUNTIF(Tower_6!G:G,'All Associates'!A475)+COUNTIF(Riviera_3!G:G,'All Associates'!A475)+COUNTIF(Riviera_4!G:G,'All Associates'!A475)+COUNTIF(Riviera_5!G:G,'All Associates'!A475)</f>
        <v/>
      </c>
      <c r="J475" s="112">
        <f>IF(I475=0,"Not Allocated",IF(I475=1,"Allocated","Duplicate"))</f>
        <v/>
      </c>
    </row>
    <row r="476" hidden="1">
      <c r="A476" s="83" t="n">
        <v>694</v>
      </c>
      <c r="B476" s="80" t="inlineStr">
        <is>
          <t>AMY DUNCAN MD</t>
        </is>
      </c>
      <c r="C476" s="80" t="inlineStr">
        <is>
          <t>Activ</t>
        </is>
      </c>
      <c r="D476" s="80" t="inlineStr">
        <is>
          <t>DOUGLAS LUNA</t>
        </is>
      </c>
      <c r="E476" s="80" t="inlineStr">
        <is>
          <t>ADAM SMITH</t>
        </is>
      </c>
      <c r="F476" s="80" t="inlineStr">
        <is>
          <t>PHILLIP TRAVIS</t>
        </is>
      </c>
      <c r="G476" s="80" t="inlineStr">
        <is>
          <t>PHILLIP TRAVIS</t>
        </is>
      </c>
      <c r="H476" s="80" t="inlineStr">
        <is>
          <t>156-1</t>
        </is>
      </c>
      <c r="I476" s="111">
        <f>COUNTIF(Tower_3!G:G,'All Associates'!A476)+COUNTIF(Tower_4!G:G,'All Associates'!A476)+COUNTIF(Tower_5!G:G,'All Associates'!A476)+COUNTIF(Tower_6!G:G,'All Associates'!A476)+COUNTIF(Riviera_3!G:G,'All Associates'!A476)+COUNTIF(Riviera_4!G:G,'All Associates'!A476)+COUNTIF(Riviera_5!G:G,'All Associates'!A476)</f>
        <v/>
      </c>
      <c r="J476" s="112">
        <f>IF(I476=0,"Not Allocated",IF(I476=1,"Allocated","Duplicate"))</f>
        <v/>
      </c>
    </row>
    <row r="477" hidden="1">
      <c r="A477" s="83" t="n">
        <v>432</v>
      </c>
      <c r="B477" s="80" t="inlineStr">
        <is>
          <t>PATRICK NELSON</t>
        </is>
      </c>
      <c r="C477" s="80" t="inlineStr">
        <is>
          <t>Activ</t>
        </is>
      </c>
      <c r="D477" s="80" t="inlineStr">
        <is>
          <t>OSCAR TYLER</t>
        </is>
      </c>
      <c r="E477" s="80" t="inlineStr">
        <is>
          <t>KENNETH CONRAD</t>
        </is>
      </c>
      <c r="F477" s="80" t="inlineStr">
        <is>
          <t>KIMBERLY CLARK</t>
        </is>
      </c>
      <c r="G477" s="80" t="inlineStr">
        <is>
          <t>KENNETH CONRAD</t>
        </is>
      </c>
      <c r="H477" s="80" t="inlineStr">
        <is>
          <t>127-1</t>
        </is>
      </c>
      <c r="I477" s="111">
        <f>COUNTIF(Tower_3!G:G,'All Associates'!A477)+COUNTIF(Tower_4!G:G,'All Associates'!A477)+COUNTIF(Tower_5!G:G,'All Associates'!A477)+COUNTIF(Tower_6!G:G,'All Associates'!A477)+COUNTIF(Riviera_3!G:G,'All Associates'!A477)+COUNTIF(Riviera_4!G:G,'All Associates'!A477)+COUNTIF(Riviera_5!G:G,'All Associates'!A477)</f>
        <v/>
      </c>
      <c r="J477" s="112">
        <f>IF(I477=0,"Not Allocated",IF(I477=1,"Allocated","Duplicate"))</f>
        <v/>
      </c>
    </row>
    <row r="478" hidden="1">
      <c r="A478" s="83" t="n">
        <v>416</v>
      </c>
      <c r="B478" s="80" t="inlineStr">
        <is>
          <t>JENNIFER LONG</t>
        </is>
      </c>
      <c r="C478" s="80" t="inlineStr">
        <is>
          <t>Activ</t>
        </is>
      </c>
      <c r="D478" s="80" t="inlineStr">
        <is>
          <t>REBECCA VAUGHN</t>
        </is>
      </c>
      <c r="E478" s="80" t="inlineStr">
        <is>
          <t>MR. MICHAEL KELLY</t>
        </is>
      </c>
      <c r="F478" s="80" t="inlineStr">
        <is>
          <t>HEATHER SOLIS</t>
        </is>
      </c>
      <c r="G478" s="80" t="inlineStr">
        <is>
          <t>HEATHER SOLIS</t>
        </is>
      </c>
      <c r="H478" s="80" t="inlineStr">
        <is>
          <t>138-2</t>
        </is>
      </c>
      <c r="I478" s="111">
        <f>COUNTIF(Tower_3!G:G,'All Associates'!A478)+COUNTIF(Tower_4!G:G,'All Associates'!A478)+COUNTIF(Tower_5!G:G,'All Associates'!A478)+COUNTIF(Tower_6!G:G,'All Associates'!A478)+COUNTIF(Riviera_3!G:G,'All Associates'!A478)+COUNTIF(Riviera_4!G:G,'All Associates'!A478)+COUNTIF(Riviera_5!G:G,'All Associates'!A478)</f>
        <v/>
      </c>
      <c r="J478" s="112">
        <f>IF(I478=0,"Not Allocated",IF(I478=1,"Allocated","Duplicate"))</f>
        <v/>
      </c>
    </row>
    <row r="479" hidden="1">
      <c r="A479" s="83" t="n">
        <v>1178</v>
      </c>
      <c r="B479" s="80" t="inlineStr">
        <is>
          <t>MELISSA TUCKER</t>
        </is>
      </c>
      <c r="C479" s="80" t="inlineStr">
        <is>
          <t>Activ</t>
        </is>
      </c>
      <c r="D479" s="80" t="inlineStr">
        <is>
          <t>LINDA DONOVAN</t>
        </is>
      </c>
      <c r="E479" s="80" t="inlineStr">
        <is>
          <t>REBECCA VAUGHN</t>
        </is>
      </c>
      <c r="F479" s="80" t="inlineStr">
        <is>
          <t>MR. MICHAEL KELLY</t>
        </is>
      </c>
      <c r="G479" s="80" t="inlineStr">
        <is>
          <t>HEATHER SOLIS</t>
        </is>
      </c>
      <c r="H479" s="80" t="inlineStr">
        <is>
          <t>138-2</t>
        </is>
      </c>
      <c r="I479" s="111">
        <f>COUNTIF(Tower_3!G:G,'All Associates'!A479)+COUNTIF(Tower_4!G:G,'All Associates'!A479)+COUNTIF(Tower_5!G:G,'All Associates'!A479)+COUNTIF(Tower_6!G:G,'All Associates'!A479)+COUNTIF(Riviera_3!G:G,'All Associates'!A479)+COUNTIF(Riviera_4!G:G,'All Associates'!A479)+COUNTIF(Riviera_5!G:G,'All Associates'!A479)</f>
        <v/>
      </c>
      <c r="J479" s="112">
        <f>IF(I479=0,"Not Allocated",IF(I479=1,"Allocated","Duplicate"))</f>
        <v/>
      </c>
    </row>
    <row r="480" hidden="1">
      <c r="A480" s="83" t="n">
        <v>1215</v>
      </c>
      <c r="B480" s="80" t="inlineStr">
        <is>
          <t>MICHAEL LEE</t>
        </is>
      </c>
      <c r="C480" s="80" t="inlineStr">
        <is>
          <t>Activ</t>
        </is>
      </c>
      <c r="D480" s="80" t="inlineStr">
        <is>
          <t>NATHAN HAMILTON</t>
        </is>
      </c>
      <c r="E480" s="80" t="inlineStr">
        <is>
          <t>KIMBERLY CLARK</t>
        </is>
      </c>
      <c r="F480" s="80" t="inlineStr">
        <is>
          <t>KIMBERLY CLARK</t>
        </is>
      </c>
      <c r="G480" s="80" t="inlineStr">
        <is>
          <t>NATHAN HAMILTON</t>
        </is>
      </c>
      <c r="H480" s="80" t="inlineStr">
        <is>
          <t>221-1</t>
        </is>
      </c>
      <c r="I480" s="111">
        <f>COUNTIF(Tower_3!G:G,'All Associates'!A480)+COUNTIF(Tower_4!G:G,'All Associates'!A480)+COUNTIF(Tower_5!G:G,'All Associates'!A480)+COUNTIF(Tower_6!G:G,'All Associates'!A480)+COUNTIF(Riviera_3!G:G,'All Associates'!A480)+COUNTIF(Riviera_4!G:G,'All Associates'!A480)+COUNTIF(Riviera_5!G:G,'All Associates'!A480)</f>
        <v/>
      </c>
      <c r="J480" s="112">
        <f>IF(I480=0,"Not Allocated",IF(I480=1,"Allocated","Duplicate"))</f>
        <v/>
      </c>
    </row>
    <row r="481" hidden="1">
      <c r="A481" s="83" t="n">
        <v>196</v>
      </c>
      <c r="B481" s="80" t="inlineStr">
        <is>
          <t>COURTNEY CONLEY</t>
        </is>
      </c>
      <c r="C481" s="80" t="inlineStr">
        <is>
          <t>Activ</t>
        </is>
      </c>
      <c r="D481" s="80" t="inlineStr">
        <is>
          <t>KENNETH CONRAD</t>
        </is>
      </c>
      <c r="E481" s="80" t="inlineStr">
        <is>
          <t>KIMBERLY CLARK</t>
        </is>
      </c>
      <c r="F481" s="80" t="inlineStr">
        <is>
          <t>KIMBERLY CLARK</t>
        </is>
      </c>
      <c r="G481" s="80" t="inlineStr">
        <is>
          <t>KENNETH CONRAD</t>
        </is>
      </c>
      <c r="H481" s="80" t="inlineStr">
        <is>
          <t>133-1</t>
        </is>
      </c>
      <c r="I481" s="111">
        <f>COUNTIF(Tower_3!G:G,'All Associates'!A481)+COUNTIF(Tower_4!G:G,'All Associates'!A481)+COUNTIF(Tower_5!G:G,'All Associates'!A481)+COUNTIF(Tower_6!G:G,'All Associates'!A481)+COUNTIF(Riviera_3!G:G,'All Associates'!A481)+COUNTIF(Riviera_4!G:G,'All Associates'!A481)+COUNTIF(Riviera_5!G:G,'All Associates'!A481)</f>
        <v/>
      </c>
      <c r="J481" s="112">
        <f>IF(I481=0,"Not Allocated",IF(I481=1,"Allocated","Duplicate"))</f>
        <v/>
      </c>
    </row>
    <row r="482" hidden="1">
      <c r="A482" s="83" t="n">
        <v>330</v>
      </c>
      <c r="B482" s="80" t="inlineStr">
        <is>
          <t>AMY SPENCER MD</t>
        </is>
      </c>
      <c r="C482" s="80" t="inlineStr">
        <is>
          <t>Activ</t>
        </is>
      </c>
      <c r="D482" s="80" t="inlineStr">
        <is>
          <t>ALEXANDER MILLER</t>
        </is>
      </c>
      <c r="E482" s="80" t="inlineStr">
        <is>
          <t>KIMBERLY CLARK</t>
        </is>
      </c>
      <c r="F482" s="80" t="inlineStr">
        <is>
          <t>KIMBERLY CLARK</t>
        </is>
      </c>
      <c r="G482" s="80" t="inlineStr">
        <is>
          <t>ALEXANDER MILLER</t>
        </is>
      </c>
      <c r="H482" s="80" t="inlineStr">
        <is>
          <t>135-1</t>
        </is>
      </c>
      <c r="I482" s="111">
        <f>COUNTIF(Tower_3!G:G,'All Associates'!A482)+COUNTIF(Tower_4!G:G,'All Associates'!A482)+COUNTIF(Tower_5!G:G,'All Associates'!A482)+COUNTIF(Tower_6!G:G,'All Associates'!A482)+COUNTIF(Riviera_3!G:G,'All Associates'!A482)+COUNTIF(Riviera_4!G:G,'All Associates'!A482)+COUNTIF(Riviera_5!G:G,'All Associates'!A482)</f>
        <v/>
      </c>
      <c r="J482" s="112">
        <f>IF(I482=0,"Not Allocated",IF(I482=1,"Allocated","Duplicate"))</f>
        <v/>
      </c>
    </row>
    <row r="483" hidden="1">
      <c r="A483" s="83" t="n">
        <v>636</v>
      </c>
      <c r="B483" s="80" t="inlineStr">
        <is>
          <t>MR. DANIEL PAGE</t>
        </is>
      </c>
      <c r="C483" s="80" t="inlineStr">
        <is>
          <t>Activ</t>
        </is>
      </c>
      <c r="D483" s="80" t="inlineStr">
        <is>
          <t>ALEXANDER MILLER</t>
        </is>
      </c>
      <c r="E483" s="80" t="inlineStr">
        <is>
          <t>KIMBERLY CLARK</t>
        </is>
      </c>
      <c r="F483" s="80" t="inlineStr">
        <is>
          <t>KIMBERLY CLARK</t>
        </is>
      </c>
      <c r="G483" s="80" t="inlineStr">
        <is>
          <t>ALEXANDER MILLER</t>
        </is>
      </c>
      <c r="H483" s="80" t="inlineStr">
        <is>
          <t>196-1</t>
        </is>
      </c>
      <c r="I483" s="111">
        <f>COUNTIF(Tower_3!G:G,'All Associates'!A483)+COUNTIF(Tower_4!G:G,'All Associates'!A483)+COUNTIF(Tower_5!G:G,'All Associates'!A483)+COUNTIF(Tower_6!G:G,'All Associates'!A483)+COUNTIF(Riviera_3!G:G,'All Associates'!A483)+COUNTIF(Riviera_4!G:G,'All Associates'!A483)+COUNTIF(Riviera_5!G:G,'All Associates'!A483)</f>
        <v/>
      </c>
      <c r="J483" s="112">
        <f>IF(I483=0,"Not Allocated",IF(I483=1,"Allocated","Duplicate"))</f>
        <v/>
      </c>
    </row>
    <row r="484" hidden="1">
      <c r="A484" s="83" t="n">
        <v>321</v>
      </c>
      <c r="B484" s="80" t="inlineStr">
        <is>
          <t>ASHLEY FARRELL</t>
        </is>
      </c>
      <c r="C484" s="80" t="inlineStr">
        <is>
          <t>Activ</t>
        </is>
      </c>
      <c r="D484" s="80" t="inlineStr">
        <is>
          <t>TINA WONG</t>
        </is>
      </c>
      <c r="E484" s="80" t="inlineStr">
        <is>
          <t>DR. DIANA CARROLL</t>
        </is>
      </c>
      <c r="F484" s="80" t="inlineStr">
        <is>
          <t>HEATHER SOLIS</t>
        </is>
      </c>
      <c r="G484" s="80" t="inlineStr">
        <is>
          <t>HEATHER SOLIS</t>
        </is>
      </c>
      <c r="H484" s="80" t="inlineStr">
        <is>
          <t>138-1</t>
        </is>
      </c>
      <c r="I484" s="111">
        <f>COUNTIF(Tower_3!G:G,'All Associates'!A484)+COUNTIF(Tower_4!G:G,'All Associates'!A484)+COUNTIF(Tower_5!G:G,'All Associates'!A484)+COUNTIF(Tower_6!G:G,'All Associates'!A484)+COUNTIF(Riviera_3!G:G,'All Associates'!A484)+COUNTIF(Riviera_4!G:G,'All Associates'!A484)+COUNTIF(Riviera_5!G:G,'All Associates'!A484)</f>
        <v/>
      </c>
      <c r="J484" s="112">
        <f>IF(I484=0,"Not Allocated",IF(I484=1,"Allocated","Duplicate"))</f>
        <v/>
      </c>
    </row>
    <row r="485" hidden="1">
      <c r="A485" s="83" t="n">
        <v>1158</v>
      </c>
      <c r="B485" s="80" t="inlineStr">
        <is>
          <t>TARA ROMAN</t>
        </is>
      </c>
      <c r="C485" s="80" t="inlineStr">
        <is>
          <t>Activ</t>
        </is>
      </c>
      <c r="D485" s="80" t="inlineStr">
        <is>
          <t>TINA WONG</t>
        </is>
      </c>
      <c r="E485" s="80" t="inlineStr">
        <is>
          <t>DR. DIANA CARROLL</t>
        </is>
      </c>
      <c r="F485" s="80" t="inlineStr">
        <is>
          <t>HEATHER SOLIS</t>
        </is>
      </c>
      <c r="G485" s="80" t="inlineStr">
        <is>
          <t>HEATHER SOLIS</t>
        </is>
      </c>
      <c r="H485" s="80" t="inlineStr">
        <is>
          <t>138-1</t>
        </is>
      </c>
      <c r="I485" s="111">
        <f>COUNTIF(Tower_3!G:G,'All Associates'!A485)+COUNTIF(Tower_4!G:G,'All Associates'!A485)+COUNTIF(Tower_5!G:G,'All Associates'!A485)+COUNTIF(Tower_6!G:G,'All Associates'!A485)+COUNTIF(Riviera_3!G:G,'All Associates'!A485)+COUNTIF(Riviera_4!G:G,'All Associates'!A485)+COUNTIF(Riviera_5!G:G,'All Associates'!A485)</f>
        <v/>
      </c>
      <c r="J485" s="112">
        <f>IF(I485=0,"Not Allocated",IF(I485=1,"Allocated","Duplicate"))</f>
        <v/>
      </c>
    </row>
    <row r="486" hidden="1">
      <c r="A486" s="83" t="n">
        <v>172</v>
      </c>
      <c r="B486" s="80" t="inlineStr">
        <is>
          <t>DANIELLE FORD</t>
        </is>
      </c>
      <c r="C486" s="80" t="inlineStr">
        <is>
          <t>Activ</t>
        </is>
      </c>
      <c r="D486" s="80" t="inlineStr">
        <is>
          <t>TIFFANY WARD</t>
        </is>
      </c>
      <c r="E486" s="80" t="inlineStr">
        <is>
          <t>CHELSEA CAMPBELL</t>
        </is>
      </c>
      <c r="F486" s="80" t="inlineStr">
        <is>
          <t>KENNETH CONRAD</t>
        </is>
      </c>
      <c r="G486" s="80" t="inlineStr">
        <is>
          <t>KENNETH CONRAD</t>
        </is>
      </c>
      <c r="H486" s="80" t="inlineStr">
        <is>
          <t>133-1</t>
        </is>
      </c>
      <c r="I486" s="111">
        <f>COUNTIF(Tower_3!G:G,'All Associates'!A486)+COUNTIF(Tower_4!G:G,'All Associates'!A486)+COUNTIF(Tower_5!G:G,'All Associates'!A486)+COUNTIF(Tower_6!G:G,'All Associates'!A486)+COUNTIF(Riviera_3!G:G,'All Associates'!A486)+COUNTIF(Riviera_4!G:G,'All Associates'!A486)+COUNTIF(Riviera_5!G:G,'All Associates'!A486)</f>
        <v/>
      </c>
      <c r="J486" s="112">
        <f>IF(I486=0,"Not Allocated",IF(I486=1,"Allocated","Duplicate"))</f>
        <v/>
      </c>
    </row>
    <row r="487" hidden="1">
      <c r="A487" s="83" t="n">
        <v>1227</v>
      </c>
      <c r="B487" s="80" t="inlineStr">
        <is>
          <t>MICHELLE DAVIS</t>
        </is>
      </c>
      <c r="C487" s="80" t="inlineStr">
        <is>
          <t>Activ</t>
        </is>
      </c>
      <c r="D487" s="80" t="inlineStr">
        <is>
          <t>DOROTHY MARSHALL</t>
        </is>
      </c>
      <c r="E487" s="80" t="inlineStr">
        <is>
          <t>KIMBERLY CLARK</t>
        </is>
      </c>
      <c r="F487" s="80" t="inlineStr">
        <is>
          <t>KIMBERLY CLARK</t>
        </is>
      </c>
      <c r="G487" s="80" t="inlineStr">
        <is>
          <t>KIMBERLY CLARK</t>
        </is>
      </c>
      <c r="H487" s="80" t="inlineStr">
        <is>
          <t>230-1</t>
        </is>
      </c>
      <c r="I487" s="111">
        <f>COUNTIF(Tower_3!G:G,'All Associates'!A487)+COUNTIF(Tower_4!G:G,'All Associates'!A487)+COUNTIF(Tower_5!G:G,'All Associates'!A487)+COUNTIF(Tower_6!G:G,'All Associates'!A487)+COUNTIF(Riviera_3!G:G,'All Associates'!A487)+COUNTIF(Riviera_4!G:G,'All Associates'!A487)+COUNTIF(Riviera_5!G:G,'All Associates'!A487)</f>
        <v/>
      </c>
      <c r="J487" s="112">
        <f>IF(I487=0,"Not Allocated",IF(I487=1,"Allocated","Duplicate"))</f>
        <v/>
      </c>
    </row>
    <row r="488" hidden="1">
      <c r="A488" s="83" t="n">
        <v>1114</v>
      </c>
      <c r="B488" s="80" t="inlineStr">
        <is>
          <t>BENJAMIN BELL</t>
        </is>
      </c>
      <c r="C488" s="80" t="inlineStr">
        <is>
          <t>Activ</t>
        </is>
      </c>
      <c r="D488" s="80" t="inlineStr">
        <is>
          <t>MATTHEW BAKER</t>
        </is>
      </c>
      <c r="E488" s="80" t="inlineStr">
        <is>
          <t>MICHAEL ROSALES</t>
        </is>
      </c>
      <c r="F488" s="80" t="inlineStr">
        <is>
          <t>BETH TUCKER</t>
        </is>
      </c>
      <c r="G488" s="80" t="inlineStr">
        <is>
          <t>KIMBERLY CLARK</t>
        </is>
      </c>
      <c r="H488" s="80" t="inlineStr">
        <is>
          <t>156-2</t>
        </is>
      </c>
      <c r="I488" s="111">
        <f>COUNTIF(Tower_3!G:G,'All Associates'!A488)+COUNTIF(Tower_4!G:G,'All Associates'!A488)+COUNTIF(Tower_5!G:G,'All Associates'!A488)+COUNTIF(Tower_6!G:G,'All Associates'!A488)+COUNTIF(Riviera_3!G:G,'All Associates'!A488)+COUNTIF(Riviera_4!G:G,'All Associates'!A488)+COUNTIF(Riviera_5!G:G,'All Associates'!A488)</f>
        <v/>
      </c>
      <c r="J488" s="112">
        <f>IF(I488=0,"Not Allocated",IF(I488=1,"Allocated","Duplicate"))</f>
        <v/>
      </c>
    </row>
    <row r="489">
      <c r="A489" s="90" t="n">
        <v>1098</v>
      </c>
      <c r="B489" s="91" t="inlineStr">
        <is>
          <t>CHRISTINA ORTEGA</t>
        </is>
      </c>
      <c r="C489" s="91" t="inlineStr">
        <is>
          <t>Activ</t>
        </is>
      </c>
      <c r="D489" s="91" t="inlineStr">
        <is>
          <t>ERIC GREENE</t>
        </is>
      </c>
      <c r="E489" s="91" t="inlineStr">
        <is>
          <t>ADAM SMITH</t>
        </is>
      </c>
      <c r="F489" s="91" t="inlineStr">
        <is>
          <t>PHILLIP TRAVIS</t>
        </is>
      </c>
      <c r="G489" s="91" t="inlineStr">
        <is>
          <t>PHILLIP TRAVIS</t>
        </is>
      </c>
      <c r="H489" s="91" t="inlineStr">
        <is>
          <t>156-1</t>
        </is>
      </c>
      <c r="I489" s="111">
        <f>COUNTIF(Tower_3!G:G,'All Associates'!A489)+COUNTIF(Tower_4!G:G,'All Associates'!A489)+COUNTIF(Tower_5!G:G,'All Associates'!A489)+COUNTIF(Tower_6!G:G,'All Associates'!A489)+COUNTIF(Riviera_3!G:G,'All Associates'!A489)+COUNTIF(Riviera_4!G:G,'All Associates'!A489)+COUNTIF(Riviera_5!G:G,'All Associates'!A489)</f>
        <v/>
      </c>
      <c r="J489" s="112">
        <f>IF(I489=0,"Not Allocated",IF(I489=1,"Allocated","Duplicate"))</f>
        <v/>
      </c>
    </row>
    <row r="490" hidden="1">
      <c r="A490" s="83" t="n">
        <v>200</v>
      </c>
      <c r="B490" s="80" t="inlineStr">
        <is>
          <t>CHRISTOPHER SANCHEZ</t>
        </is>
      </c>
      <c r="C490" s="80" t="inlineStr">
        <is>
          <t>Activ</t>
        </is>
      </c>
      <c r="D490" s="80" t="inlineStr">
        <is>
          <t>ALEXANDER MILLER</t>
        </is>
      </c>
      <c r="E490" s="80" t="inlineStr">
        <is>
          <t>KIMBERLY CLARK</t>
        </is>
      </c>
      <c r="F490" s="80" t="inlineStr">
        <is>
          <t>KIMBERLY CLARK</t>
        </is>
      </c>
      <c r="G490" s="80" t="inlineStr">
        <is>
          <t>ALEXANDER MILLER</t>
        </is>
      </c>
      <c r="H490" s="80" t="inlineStr">
        <is>
          <t>135-1</t>
        </is>
      </c>
      <c r="I490" s="111">
        <f>COUNTIF(Tower_3!G:G,'All Associates'!A490)+COUNTIF(Tower_4!G:G,'All Associates'!A490)+COUNTIF(Tower_5!G:G,'All Associates'!A490)+COUNTIF(Tower_6!G:G,'All Associates'!A490)+COUNTIF(Riviera_3!G:G,'All Associates'!A490)+COUNTIF(Riviera_4!G:G,'All Associates'!A490)+COUNTIF(Riviera_5!G:G,'All Associates'!A490)</f>
        <v/>
      </c>
      <c r="J490" s="112">
        <f>IF(I490=0,"Not Allocated",IF(I490=1,"Allocated","Duplicate"))</f>
        <v/>
      </c>
    </row>
    <row r="491" hidden="1">
      <c r="A491" s="83" t="n">
        <v>826</v>
      </c>
      <c r="B491" s="80" t="inlineStr">
        <is>
          <t>KRISTOPHER BOOTH</t>
        </is>
      </c>
      <c r="C491" s="80" t="inlineStr">
        <is>
          <t>Activ</t>
        </is>
      </c>
      <c r="D491" s="80" t="inlineStr">
        <is>
          <t>JOHN SCOTT DDS</t>
        </is>
      </c>
      <c r="E491" s="80" t="inlineStr">
        <is>
          <t>ADAM SMITH</t>
        </is>
      </c>
      <c r="F491" s="80" t="inlineStr">
        <is>
          <t>PHILLIP TRAVIS</t>
        </is>
      </c>
      <c r="G491" s="80" t="inlineStr">
        <is>
          <t>PHILLIP TRAVIS</t>
        </is>
      </c>
      <c r="H491" s="80" t="inlineStr">
        <is>
          <t>156-1</t>
        </is>
      </c>
      <c r="I491" s="111">
        <f>COUNTIF(Tower_3!G:G,'All Associates'!A491)+COUNTIF(Tower_4!G:G,'All Associates'!A491)+COUNTIF(Tower_5!G:G,'All Associates'!A491)+COUNTIF(Tower_6!G:G,'All Associates'!A491)+COUNTIF(Riviera_3!G:G,'All Associates'!A491)+COUNTIF(Riviera_4!G:G,'All Associates'!A491)+COUNTIF(Riviera_5!G:G,'All Associates'!A491)</f>
        <v/>
      </c>
      <c r="J491" s="112">
        <f>IF(I491=0,"Not Allocated",IF(I491=1,"Allocated","Duplicate"))</f>
        <v/>
      </c>
    </row>
    <row r="492" hidden="1">
      <c r="A492" s="83" t="n">
        <v>478</v>
      </c>
      <c r="B492" s="80" t="inlineStr">
        <is>
          <t>JEFFREY BAUER</t>
        </is>
      </c>
      <c r="C492" s="80" t="inlineStr">
        <is>
          <t>Activ</t>
        </is>
      </c>
      <c r="D492" s="80" t="inlineStr">
        <is>
          <t>AMY KHAN</t>
        </is>
      </c>
      <c r="E492" s="80" t="inlineStr">
        <is>
          <t>CHAD PEREZ</t>
        </is>
      </c>
      <c r="F492" s="80" t="inlineStr">
        <is>
          <t>MARISSA CROSS</t>
        </is>
      </c>
      <c r="G492" s="80" t="inlineStr">
        <is>
          <t>MARISSA CROSS</t>
        </is>
      </c>
      <c r="H492" s="80" t="inlineStr">
        <is>
          <t>220-2</t>
        </is>
      </c>
      <c r="I492" s="111">
        <f>COUNTIF(Tower_3!G:G,'All Associates'!A492)+COUNTIF(Tower_4!G:G,'All Associates'!A492)+COUNTIF(Tower_5!G:G,'All Associates'!A492)+COUNTIF(Tower_6!G:G,'All Associates'!A492)+COUNTIF(Riviera_3!G:G,'All Associates'!A492)+COUNTIF(Riviera_4!G:G,'All Associates'!A492)+COUNTIF(Riviera_5!G:G,'All Associates'!A492)</f>
        <v/>
      </c>
      <c r="J492" s="112">
        <f>IF(I492=0,"Not Allocated",IF(I492=1,"Allocated","Duplicate"))</f>
        <v/>
      </c>
    </row>
    <row r="493" hidden="1">
      <c r="A493" s="83" t="n">
        <v>1230</v>
      </c>
      <c r="B493" s="80" t="inlineStr">
        <is>
          <t>JENNIFER PATEL</t>
        </is>
      </c>
      <c r="C493" s="80" t="inlineStr">
        <is>
          <t>Activ</t>
        </is>
      </c>
      <c r="D493" s="80" t="inlineStr">
        <is>
          <t>NATHAN MURRAY</t>
        </is>
      </c>
      <c r="E493" s="80" t="inlineStr">
        <is>
          <t>CHARLES POWELL</t>
        </is>
      </c>
      <c r="F493" s="80" t="inlineStr">
        <is>
          <t>KIMBERLY CLARK</t>
        </is>
      </c>
      <c r="G493" s="80" t="inlineStr">
        <is>
          <t>CHARLES POWELL</t>
        </is>
      </c>
      <c r="H493" s="80" t="inlineStr">
        <is>
          <t>138-3</t>
        </is>
      </c>
      <c r="I493" s="111">
        <f>COUNTIF(Tower_3!G:G,'All Associates'!A493)+COUNTIF(Tower_4!G:G,'All Associates'!A493)+COUNTIF(Tower_5!G:G,'All Associates'!A493)+COUNTIF(Tower_6!G:G,'All Associates'!A493)+COUNTIF(Riviera_3!G:G,'All Associates'!A493)+COUNTIF(Riviera_4!G:G,'All Associates'!A493)+COUNTIF(Riviera_5!G:G,'All Associates'!A493)</f>
        <v/>
      </c>
      <c r="J493" s="112">
        <f>IF(I493=0,"Not Allocated",IF(I493=1,"Allocated","Duplicate"))</f>
        <v/>
      </c>
    </row>
    <row r="494" hidden="1">
      <c r="A494" s="83" t="n">
        <v>185</v>
      </c>
      <c r="B494" s="80" t="inlineStr">
        <is>
          <t>THOMAS STEVENS</t>
        </is>
      </c>
      <c r="C494" s="80" t="inlineStr">
        <is>
          <t>Activ</t>
        </is>
      </c>
      <c r="D494" s="80" t="inlineStr">
        <is>
          <t>AMY KHAN</t>
        </is>
      </c>
      <c r="E494" s="80" t="inlineStr">
        <is>
          <t>CHAD PEREZ</t>
        </is>
      </c>
      <c r="F494" s="80" t="inlineStr">
        <is>
          <t>MARISSA CROSS</t>
        </is>
      </c>
      <c r="G494" s="80" t="inlineStr">
        <is>
          <t>MARISSA CROSS</t>
        </is>
      </c>
      <c r="H494" s="80" t="inlineStr">
        <is>
          <t>220-2</t>
        </is>
      </c>
      <c r="I494" s="111">
        <f>COUNTIF(Tower_3!G:G,'All Associates'!A494)+COUNTIF(Tower_4!G:G,'All Associates'!A494)+COUNTIF(Tower_5!G:G,'All Associates'!A494)+COUNTIF(Tower_6!G:G,'All Associates'!A494)+COUNTIF(Riviera_3!G:G,'All Associates'!A494)+COUNTIF(Riviera_4!G:G,'All Associates'!A494)+COUNTIF(Riviera_5!G:G,'All Associates'!A494)</f>
        <v/>
      </c>
      <c r="J494" s="112">
        <f>IF(I494=0,"Not Allocated",IF(I494=1,"Allocated","Duplicate"))</f>
        <v/>
      </c>
    </row>
    <row r="495" hidden="1">
      <c r="A495" s="83" t="n">
        <v>1054</v>
      </c>
      <c r="B495" s="80" t="inlineStr">
        <is>
          <t>ANN WILSON</t>
        </is>
      </c>
      <c r="C495" s="80" t="inlineStr">
        <is>
          <t>Activ</t>
        </is>
      </c>
      <c r="D495" s="80" t="inlineStr">
        <is>
          <t>JULIE SANCHEZ</t>
        </is>
      </c>
      <c r="E495" s="80" t="inlineStr">
        <is>
          <t>LARRY KIM</t>
        </is>
      </c>
      <c r="F495" s="80" t="inlineStr">
        <is>
          <t>KENNETH CONRAD</t>
        </is>
      </c>
      <c r="G495" s="80" t="inlineStr">
        <is>
          <t>KENNETH CONRAD</t>
        </is>
      </c>
      <c r="H495" s="80" t="inlineStr">
        <is>
          <t>127-1</t>
        </is>
      </c>
      <c r="I495" s="111">
        <f>COUNTIF(Tower_3!G:G,'All Associates'!A495)+COUNTIF(Tower_4!G:G,'All Associates'!A495)+COUNTIF(Tower_5!G:G,'All Associates'!A495)+COUNTIF(Tower_6!G:G,'All Associates'!A495)+COUNTIF(Riviera_3!G:G,'All Associates'!A495)+COUNTIF(Riviera_4!G:G,'All Associates'!A495)+COUNTIF(Riviera_5!G:G,'All Associates'!A495)</f>
        <v/>
      </c>
      <c r="J495" s="112">
        <f>IF(I495=0,"Not Allocated",IF(I495=1,"Allocated","Duplicate"))</f>
        <v/>
      </c>
    </row>
    <row r="496" hidden="1">
      <c r="A496" s="83" t="n">
        <v>1108</v>
      </c>
      <c r="B496" s="80" t="inlineStr">
        <is>
          <t>RACHEL YOUNG</t>
        </is>
      </c>
      <c r="C496" s="80" t="inlineStr">
        <is>
          <t>Activ</t>
        </is>
      </c>
      <c r="D496" s="80" t="inlineStr">
        <is>
          <t>JEREMIAH ROBLES</t>
        </is>
      </c>
      <c r="E496" s="80" t="inlineStr">
        <is>
          <t>BETH TUCKER</t>
        </is>
      </c>
      <c r="F496" s="80" t="inlineStr">
        <is>
          <t>KIMBERLY CLARK</t>
        </is>
      </c>
      <c r="G496" s="80" t="inlineStr">
        <is>
          <t>KIMBERLY CLARK</t>
        </is>
      </c>
      <c r="H496" s="80" t="inlineStr">
        <is>
          <t>156-2</t>
        </is>
      </c>
      <c r="I496" s="111">
        <f>COUNTIF(Tower_3!G:G,'All Associates'!A496)+COUNTIF(Tower_4!G:G,'All Associates'!A496)+COUNTIF(Tower_5!G:G,'All Associates'!A496)+COUNTIF(Tower_6!G:G,'All Associates'!A496)+COUNTIF(Riviera_3!G:G,'All Associates'!A496)+COUNTIF(Riviera_4!G:G,'All Associates'!A496)+COUNTIF(Riviera_5!G:G,'All Associates'!A496)</f>
        <v/>
      </c>
      <c r="J496" s="112">
        <f>IF(I496=0,"Not Allocated",IF(I496=1,"Allocated","Duplicate"))</f>
        <v/>
      </c>
    </row>
    <row r="497" hidden="1">
      <c r="A497" s="83" t="n">
        <v>480</v>
      </c>
      <c r="B497" s="80" t="inlineStr">
        <is>
          <t>CRAIG OLSEN</t>
        </is>
      </c>
      <c r="C497" s="80" t="inlineStr">
        <is>
          <t>Activ</t>
        </is>
      </c>
      <c r="D497" s="80" t="inlineStr">
        <is>
          <t>ALEXANDER MILLER</t>
        </is>
      </c>
      <c r="E497" s="80" t="inlineStr">
        <is>
          <t>KIMBERLY CLARK</t>
        </is>
      </c>
      <c r="F497" s="80" t="inlineStr">
        <is>
          <t>KIMBERLY CLARK</t>
        </is>
      </c>
      <c r="G497" s="80" t="inlineStr">
        <is>
          <t>ALEXANDER MILLER</t>
        </is>
      </c>
      <c r="H497" s="80" t="inlineStr">
        <is>
          <t>135-1</t>
        </is>
      </c>
      <c r="I497" s="111">
        <f>COUNTIF(Tower_3!G:G,'All Associates'!A497)+COUNTIF(Tower_4!G:G,'All Associates'!A497)+COUNTIF(Tower_5!G:G,'All Associates'!A497)+COUNTIF(Tower_6!G:G,'All Associates'!A497)+COUNTIF(Riviera_3!G:G,'All Associates'!A497)+COUNTIF(Riviera_4!G:G,'All Associates'!A497)+COUNTIF(Riviera_5!G:G,'All Associates'!A497)</f>
        <v/>
      </c>
      <c r="J497" s="112">
        <f>IF(I497=0,"Not Allocated",IF(I497=1,"Allocated","Duplicate"))</f>
        <v/>
      </c>
    </row>
    <row r="498" hidden="1">
      <c r="A498" s="83" t="n">
        <v>1156</v>
      </c>
      <c r="B498" s="80" t="inlineStr">
        <is>
          <t>HANNAH GOODWIN</t>
        </is>
      </c>
      <c r="C498" s="80" t="inlineStr">
        <is>
          <t>Activ</t>
        </is>
      </c>
      <c r="D498" s="80" t="inlineStr">
        <is>
          <t>DIANE PETERSEN</t>
        </is>
      </c>
      <c r="E498" s="80" t="inlineStr">
        <is>
          <t>DR. DIANA CARROLL</t>
        </is>
      </c>
      <c r="F498" s="80" t="inlineStr">
        <is>
          <t>HEATHER SOLIS</t>
        </is>
      </c>
      <c r="G498" s="80" t="inlineStr">
        <is>
          <t>HEATHER SOLIS</t>
        </is>
      </c>
      <c r="H498" s="80" t="inlineStr">
        <is>
          <t>138-1</t>
        </is>
      </c>
      <c r="I498" s="111">
        <f>COUNTIF(Tower_3!G:G,'All Associates'!A498)+COUNTIF(Tower_4!G:G,'All Associates'!A498)+COUNTIF(Tower_5!G:G,'All Associates'!A498)+COUNTIF(Tower_6!G:G,'All Associates'!A498)+COUNTIF(Riviera_3!G:G,'All Associates'!A498)+COUNTIF(Riviera_4!G:G,'All Associates'!A498)+COUNTIF(Riviera_5!G:G,'All Associates'!A498)</f>
        <v/>
      </c>
      <c r="J498" s="112">
        <f>IF(I498=0,"Not Allocated",IF(I498=1,"Allocated","Duplicate"))</f>
        <v/>
      </c>
    </row>
    <row r="499" hidden="1">
      <c r="A499" s="83" t="n">
        <v>595</v>
      </c>
      <c r="B499" s="80" t="inlineStr">
        <is>
          <t>ASHLEY HAMMOND</t>
        </is>
      </c>
      <c r="C499" s="80" t="inlineStr">
        <is>
          <t>Activ</t>
        </is>
      </c>
      <c r="D499" s="80" t="inlineStr">
        <is>
          <t>JEREMY CASTILLO</t>
        </is>
      </c>
      <c r="E499" s="80" t="inlineStr">
        <is>
          <t>ASHLEY FRENCH</t>
        </is>
      </c>
      <c r="F499" s="80" t="inlineStr">
        <is>
          <t>PHILLIP TRAVIS</t>
        </is>
      </c>
      <c r="G499" s="80" t="inlineStr">
        <is>
          <t>PHILLIP TRAVIS</t>
        </is>
      </c>
      <c r="H499" s="80" t="inlineStr">
        <is>
          <t>156-1</t>
        </is>
      </c>
      <c r="I499" s="111">
        <f>COUNTIF(Tower_3!G:G,'All Associates'!A499)+COUNTIF(Tower_4!G:G,'All Associates'!A499)+COUNTIF(Tower_5!G:G,'All Associates'!A499)+COUNTIF(Tower_6!G:G,'All Associates'!A499)+COUNTIF(Riviera_3!G:G,'All Associates'!A499)+COUNTIF(Riviera_4!G:G,'All Associates'!A499)+COUNTIF(Riviera_5!G:G,'All Associates'!A499)</f>
        <v/>
      </c>
      <c r="J499" s="112">
        <f>IF(I499=0,"Not Allocated",IF(I499=1,"Allocated","Duplicate"))</f>
        <v/>
      </c>
    </row>
    <row r="500" hidden="1">
      <c r="A500" s="83" t="n">
        <v>928</v>
      </c>
      <c r="B500" s="80" t="inlineStr">
        <is>
          <t>JAMES JOHNSON</t>
        </is>
      </c>
      <c r="C500" s="80" t="inlineStr">
        <is>
          <t>Activ</t>
        </is>
      </c>
      <c r="D500" s="80" t="inlineStr">
        <is>
          <t>MARISSA CROSS</t>
        </is>
      </c>
      <c r="E500" s="80" t="inlineStr">
        <is>
          <t>KIMBERLY CLARK</t>
        </is>
      </c>
      <c r="F500" s="80" t="inlineStr">
        <is>
          <t>KIMBERLY CLARK</t>
        </is>
      </c>
      <c r="G500" s="80" t="inlineStr">
        <is>
          <t>MARISSA CROSS</t>
        </is>
      </c>
      <c r="H500" s="80" t="inlineStr">
        <is>
          <t>220-2</t>
        </is>
      </c>
      <c r="I500" s="111">
        <f>COUNTIF(Tower_3!G:G,'All Associates'!A500)+COUNTIF(Tower_4!G:G,'All Associates'!A500)+COUNTIF(Tower_5!G:G,'All Associates'!A500)+COUNTIF(Tower_6!G:G,'All Associates'!A500)+COUNTIF(Riviera_3!G:G,'All Associates'!A500)+COUNTIF(Riviera_4!G:G,'All Associates'!A500)+COUNTIF(Riviera_5!G:G,'All Associates'!A500)</f>
        <v/>
      </c>
      <c r="J500" s="112">
        <f>IF(I500=0,"Not Allocated",IF(I500=1,"Allocated","Duplicate"))</f>
        <v/>
      </c>
    </row>
    <row r="501" hidden="1">
      <c r="A501" s="83" t="n">
        <v>845</v>
      </c>
      <c r="B501" s="80" t="inlineStr">
        <is>
          <t>BRYAN SMITH</t>
        </is>
      </c>
      <c r="C501" s="80" t="inlineStr">
        <is>
          <t>Activ</t>
        </is>
      </c>
      <c r="D501" s="80" t="inlineStr">
        <is>
          <t>DOUGLAS LUNA</t>
        </is>
      </c>
      <c r="E501" s="80" t="inlineStr">
        <is>
          <t>ADAM SMITH</t>
        </is>
      </c>
      <c r="F501" s="80" t="inlineStr">
        <is>
          <t>PHILLIP TRAVIS</t>
        </is>
      </c>
      <c r="G501" s="80" t="inlineStr">
        <is>
          <t>PHILLIP TRAVIS</t>
        </is>
      </c>
      <c r="H501" s="80" t="inlineStr">
        <is>
          <t>156-1</t>
        </is>
      </c>
      <c r="I501" s="111">
        <f>COUNTIF(Tower_3!G:G,'All Associates'!A501)+COUNTIF(Tower_4!G:G,'All Associates'!A501)+COUNTIF(Tower_5!G:G,'All Associates'!A501)+COUNTIF(Tower_6!G:G,'All Associates'!A501)+COUNTIF(Riviera_3!G:G,'All Associates'!A501)+COUNTIF(Riviera_4!G:G,'All Associates'!A501)+COUNTIF(Riviera_5!G:G,'All Associates'!A501)</f>
        <v/>
      </c>
      <c r="J501" s="112">
        <f>IF(I501=0,"Not Allocated",IF(I501=1,"Allocated","Duplicate"))</f>
        <v/>
      </c>
    </row>
    <row r="502" hidden="1">
      <c r="A502" s="83" t="n">
        <v>44</v>
      </c>
      <c r="B502" s="80" t="inlineStr">
        <is>
          <t>MARK KANE</t>
        </is>
      </c>
      <c r="C502" s="80" t="inlineStr">
        <is>
          <t>Activ</t>
        </is>
      </c>
      <c r="D502" s="80" t="inlineStr">
        <is>
          <t>BRAD COOLEY</t>
        </is>
      </c>
      <c r="E502" s="80" t="inlineStr">
        <is>
          <t>MR. MICHAEL KELLY</t>
        </is>
      </c>
      <c r="F502" s="80" t="inlineStr">
        <is>
          <t>HEATHER SOLIS</t>
        </is>
      </c>
      <c r="G502" s="80" t="inlineStr">
        <is>
          <t>HEATHER SOLIS</t>
        </is>
      </c>
      <c r="H502" s="80" t="inlineStr">
        <is>
          <t>138-2</t>
        </is>
      </c>
      <c r="I502" s="111">
        <f>COUNTIF(Tower_3!G:G,'All Associates'!A502)+COUNTIF(Tower_4!G:G,'All Associates'!A502)+COUNTIF(Tower_5!G:G,'All Associates'!A502)+COUNTIF(Tower_6!G:G,'All Associates'!A502)+COUNTIF(Riviera_3!G:G,'All Associates'!A502)+COUNTIF(Riviera_4!G:G,'All Associates'!A502)+COUNTIF(Riviera_5!G:G,'All Associates'!A502)</f>
        <v/>
      </c>
      <c r="J502" s="112">
        <f>IF(I502=0,"Not Allocated",IF(I502=1,"Allocated","Duplicate"))</f>
        <v/>
      </c>
    </row>
    <row r="503" hidden="1">
      <c r="A503" s="83" t="n">
        <v>1057</v>
      </c>
      <c r="B503" s="80" t="inlineStr">
        <is>
          <t>SAMUEL ALVAREZ</t>
        </is>
      </c>
      <c r="C503" s="80" t="inlineStr">
        <is>
          <t>Activ</t>
        </is>
      </c>
      <c r="D503" s="80" t="inlineStr">
        <is>
          <t>DONALD WHITE</t>
        </is>
      </c>
      <c r="E503" s="80" t="inlineStr">
        <is>
          <t>MARISSA CROSS</t>
        </is>
      </c>
      <c r="F503" s="80" t="inlineStr">
        <is>
          <t>KIMBERLY CLARK</t>
        </is>
      </c>
      <c r="G503" s="80" t="inlineStr">
        <is>
          <t>MARISSA CROSS</t>
        </is>
      </c>
      <c r="H503" s="80" t="inlineStr">
        <is>
          <t>220-2</t>
        </is>
      </c>
      <c r="I503" s="111">
        <f>COUNTIF(Tower_3!G:G,'All Associates'!A503)+COUNTIF(Tower_4!G:G,'All Associates'!A503)+COUNTIF(Tower_5!G:G,'All Associates'!A503)+COUNTIF(Tower_6!G:G,'All Associates'!A503)+COUNTIF(Riviera_3!G:G,'All Associates'!A503)+COUNTIF(Riviera_4!G:G,'All Associates'!A503)+COUNTIF(Riviera_5!G:G,'All Associates'!A503)</f>
        <v/>
      </c>
      <c r="J503" s="112">
        <f>IF(I503=0,"Not Allocated",IF(I503=1,"Allocated","Duplicate"))</f>
        <v/>
      </c>
    </row>
    <row r="504" hidden="1">
      <c r="A504" s="83" t="n">
        <v>1132</v>
      </c>
      <c r="B504" s="80" t="inlineStr">
        <is>
          <t>KATHY JORDAN</t>
        </is>
      </c>
      <c r="C504" s="80" t="inlineStr">
        <is>
          <t>Activ</t>
        </is>
      </c>
      <c r="D504" s="80" t="inlineStr">
        <is>
          <t>KIMBERLY SULLIVAN</t>
        </is>
      </c>
      <c r="E504" s="80" t="inlineStr">
        <is>
          <t>MR. MICHAEL KELLY</t>
        </is>
      </c>
      <c r="F504" s="80" t="inlineStr">
        <is>
          <t>HEATHER SOLIS</t>
        </is>
      </c>
      <c r="G504" s="80" t="inlineStr">
        <is>
          <t>HEATHER SOLIS</t>
        </is>
      </c>
      <c r="H504" s="80" t="inlineStr">
        <is>
          <t>138-2</t>
        </is>
      </c>
      <c r="I504" s="111">
        <f>COUNTIF(Tower_3!G:G,'All Associates'!A504)+COUNTIF(Tower_4!G:G,'All Associates'!A504)+COUNTIF(Tower_5!G:G,'All Associates'!A504)+COUNTIF(Tower_6!G:G,'All Associates'!A504)+COUNTIF(Riviera_3!G:G,'All Associates'!A504)+COUNTIF(Riviera_4!G:G,'All Associates'!A504)+COUNTIF(Riviera_5!G:G,'All Associates'!A504)</f>
        <v/>
      </c>
      <c r="J504" s="112">
        <f>IF(I504=0,"Not Allocated",IF(I504=1,"Allocated","Duplicate"))</f>
        <v/>
      </c>
    </row>
    <row r="505" hidden="1">
      <c r="A505" s="83" t="n">
        <v>460</v>
      </c>
      <c r="B505" s="80" t="inlineStr">
        <is>
          <t>WILLIAM WIGGINS</t>
        </is>
      </c>
      <c r="C505" s="80" t="inlineStr">
        <is>
          <t>Activ</t>
        </is>
      </c>
      <c r="D505" s="80" t="inlineStr">
        <is>
          <t>ROBERT MUELLER</t>
        </is>
      </c>
      <c r="E505" s="80" t="inlineStr">
        <is>
          <t>CHAD PEREZ</t>
        </is>
      </c>
      <c r="F505" s="80" t="inlineStr">
        <is>
          <t>MARISSA CROSS</t>
        </is>
      </c>
      <c r="G505" s="80" t="inlineStr">
        <is>
          <t>MARISSA CROSS</t>
        </is>
      </c>
      <c r="H505" s="80" t="inlineStr">
        <is>
          <t>220-2</t>
        </is>
      </c>
      <c r="I505" s="111">
        <f>COUNTIF(Tower_3!G:G,'All Associates'!A505)+COUNTIF(Tower_4!G:G,'All Associates'!A505)+COUNTIF(Tower_5!G:G,'All Associates'!A505)+COUNTIF(Tower_6!G:G,'All Associates'!A505)+COUNTIF(Riviera_3!G:G,'All Associates'!A505)+COUNTIF(Riviera_4!G:G,'All Associates'!A505)+COUNTIF(Riviera_5!G:G,'All Associates'!A505)</f>
        <v/>
      </c>
      <c r="J505" s="112">
        <f>IF(I505=0,"Not Allocated",IF(I505=1,"Allocated","Duplicate"))</f>
        <v/>
      </c>
    </row>
    <row r="506" hidden="1">
      <c r="A506" s="88" t="n">
        <v>964</v>
      </c>
      <c r="B506" s="89" t="inlineStr">
        <is>
          <t>MEAGAN KELLEY</t>
        </is>
      </c>
      <c r="C506" s="89" t="inlineStr">
        <is>
          <t>Activ</t>
        </is>
      </c>
      <c r="D506" s="89" t="inlineStr">
        <is>
          <t>JORDAN MARQUEZ</t>
        </is>
      </c>
      <c r="E506" s="89" t="inlineStr">
        <is>
          <t>JEFFREY JONES</t>
        </is>
      </c>
      <c r="F506" s="89" t="inlineStr">
        <is>
          <t>NATHAN HAMILTON</t>
        </is>
      </c>
      <c r="G506" s="89" t="inlineStr">
        <is>
          <t>NATHAN HAMILTON</t>
        </is>
      </c>
      <c r="H506" s="89" t="inlineStr">
        <is>
          <t>221-1</t>
        </is>
      </c>
      <c r="I506" s="111">
        <f>COUNTIF(Tower_3!G:G,'All Associates'!A506)+COUNTIF(Tower_4!G:G,'All Associates'!A506)+COUNTIF(Tower_5!G:G,'All Associates'!A506)+COUNTIF(Tower_6!G:G,'All Associates'!A506)+COUNTIF(Riviera_3!G:G,'All Associates'!A506)+COUNTIF(Riviera_4!G:G,'All Associates'!A506)+COUNTIF(Riviera_5!G:G,'All Associates'!A506)</f>
        <v/>
      </c>
      <c r="J506" s="112">
        <f>IF(I506=0,"Not Allocated",IF(I506=1,"Allocated","Duplicate"))</f>
        <v/>
      </c>
    </row>
    <row r="507" hidden="1">
      <c r="A507" s="83" t="n">
        <v>669</v>
      </c>
      <c r="B507" s="80" t="inlineStr">
        <is>
          <t>BENJAMIN ROJAS</t>
        </is>
      </c>
      <c r="C507" s="80" t="inlineStr">
        <is>
          <t>Activ</t>
        </is>
      </c>
      <c r="D507" s="80" t="inlineStr">
        <is>
          <t>ERIC SANFORD</t>
        </is>
      </c>
      <c r="E507" s="80" t="inlineStr">
        <is>
          <t>REBECCA SPENCE</t>
        </is>
      </c>
      <c r="F507" s="80" t="inlineStr">
        <is>
          <t>ALEXANDER MILLER</t>
        </is>
      </c>
      <c r="G507" s="80" t="inlineStr">
        <is>
          <t>ALEXANDER MILLER</t>
        </is>
      </c>
      <c r="H507" s="80" t="inlineStr">
        <is>
          <t>135-1</t>
        </is>
      </c>
      <c r="I507" s="111">
        <f>COUNTIF(Tower_3!G:G,'All Associates'!A507)+COUNTIF(Tower_4!G:G,'All Associates'!A507)+COUNTIF(Tower_5!G:G,'All Associates'!A507)+COUNTIF(Tower_6!G:G,'All Associates'!A507)+COUNTIF(Riviera_3!G:G,'All Associates'!A507)+COUNTIF(Riviera_4!G:G,'All Associates'!A507)+COUNTIF(Riviera_5!G:G,'All Associates'!A507)</f>
        <v/>
      </c>
      <c r="J507" s="112">
        <f>IF(I507=0,"Not Allocated",IF(I507=1,"Allocated","Duplicate"))</f>
        <v/>
      </c>
    </row>
    <row r="508" hidden="1">
      <c r="A508" s="83" t="n">
        <v>267</v>
      </c>
      <c r="B508" s="80" t="inlineStr">
        <is>
          <t>JEFFERY CARPENTER</t>
        </is>
      </c>
      <c r="C508" s="80" t="inlineStr">
        <is>
          <t>Activ</t>
        </is>
      </c>
      <c r="D508" s="80" t="inlineStr">
        <is>
          <t>SUMMER BARRETT</t>
        </is>
      </c>
      <c r="E508" s="80" t="inlineStr">
        <is>
          <t>ALEXANDER MILLER</t>
        </is>
      </c>
      <c r="F508" s="80" t="inlineStr">
        <is>
          <t>KIMBERLY CLARK</t>
        </is>
      </c>
      <c r="G508" s="80" t="inlineStr">
        <is>
          <t>ALEXANDER MILLER</t>
        </is>
      </c>
      <c r="H508" s="80" t="inlineStr">
        <is>
          <t>135-1</t>
        </is>
      </c>
      <c r="I508" s="111">
        <f>COUNTIF(Tower_3!G:G,'All Associates'!A508)+COUNTIF(Tower_4!G:G,'All Associates'!A508)+COUNTIF(Tower_5!G:G,'All Associates'!A508)+COUNTIF(Tower_6!G:G,'All Associates'!A508)+COUNTIF(Riviera_3!G:G,'All Associates'!A508)+COUNTIF(Riviera_4!G:G,'All Associates'!A508)+COUNTIF(Riviera_5!G:G,'All Associates'!A508)</f>
        <v/>
      </c>
      <c r="J508" s="112">
        <f>IF(I508=0,"Not Allocated",IF(I508=1,"Allocated","Duplicate"))</f>
        <v/>
      </c>
    </row>
    <row r="509" hidden="1">
      <c r="A509" s="83" t="n">
        <v>1106</v>
      </c>
      <c r="B509" s="80" t="inlineStr">
        <is>
          <t>RACHEL ANDERSON</t>
        </is>
      </c>
      <c r="C509" s="80" t="inlineStr">
        <is>
          <t>Activ</t>
        </is>
      </c>
      <c r="D509" s="80" t="inlineStr">
        <is>
          <t>DANIEL ALVAREZ</t>
        </is>
      </c>
      <c r="E509" s="80" t="inlineStr">
        <is>
          <t>ALEXANDER BAUTISTA</t>
        </is>
      </c>
      <c r="F509" s="80" t="inlineStr">
        <is>
          <t>HEATHER SOLIS</t>
        </is>
      </c>
      <c r="G509" s="80" t="inlineStr">
        <is>
          <t>HEATHER SOLIS</t>
        </is>
      </c>
      <c r="H509" s="80" t="inlineStr">
        <is>
          <t>138-1</t>
        </is>
      </c>
      <c r="I509" s="111">
        <f>COUNTIF(Tower_3!G:G,'All Associates'!A509)+COUNTIF(Tower_4!G:G,'All Associates'!A509)+COUNTIF(Tower_5!G:G,'All Associates'!A509)+COUNTIF(Tower_6!G:G,'All Associates'!A509)+COUNTIF(Riviera_3!G:G,'All Associates'!A509)+COUNTIF(Riviera_4!G:G,'All Associates'!A509)+COUNTIF(Riviera_5!G:G,'All Associates'!A509)</f>
        <v/>
      </c>
      <c r="J509" s="112">
        <f>IF(I509=0,"Not Allocated",IF(I509=1,"Allocated","Duplicate"))</f>
        <v/>
      </c>
    </row>
    <row r="510" hidden="1">
      <c r="A510" s="83" t="n">
        <v>1</v>
      </c>
      <c r="B510" s="80" t="inlineStr">
        <is>
          <t>JOSEPH ROBINSON</t>
        </is>
      </c>
      <c r="C510" s="80" t="inlineStr">
        <is>
          <t>Activ</t>
        </is>
      </c>
      <c r="D510" s="80" t="inlineStr">
        <is>
          <t>KIMBERLY CLARK</t>
        </is>
      </c>
      <c r="E510" s="80" t="inlineStr">
        <is>
          <t>KIMBERLY CLARK</t>
        </is>
      </c>
      <c r="F510" s="80" t="inlineStr">
        <is>
          <t>KIMBERLY CLARK</t>
        </is>
      </c>
      <c r="G510" s="80" t="inlineStr">
        <is>
          <t>KIMBERLY CLARK</t>
        </is>
      </c>
      <c r="H510" s="80" t="inlineStr">
        <is>
          <t>200-1</t>
        </is>
      </c>
      <c r="I510" s="111">
        <f>COUNTIF(Tower_3!G:G,'All Associates'!A510)+COUNTIF(Tower_4!G:G,'All Associates'!A510)+COUNTIF(Tower_5!G:G,'All Associates'!A510)+COUNTIF(Tower_6!G:G,'All Associates'!A510)+COUNTIF(Riviera_3!G:G,'All Associates'!A510)+COUNTIF(Riviera_4!G:G,'All Associates'!A510)+COUNTIF(Riviera_5!G:G,'All Associates'!A510)</f>
        <v/>
      </c>
      <c r="J510" s="112">
        <f>IF(I510=0,"Not Allocated",IF(I510=1,"Allocated","Duplicate"))</f>
        <v/>
      </c>
    </row>
    <row r="511" hidden="1">
      <c r="A511" s="83" t="n">
        <v>897</v>
      </c>
      <c r="B511" s="80" t="inlineStr">
        <is>
          <t>PAULA BALL</t>
        </is>
      </c>
      <c r="C511" s="80" t="inlineStr">
        <is>
          <t>Activ</t>
        </is>
      </c>
      <c r="D511" s="80" t="inlineStr">
        <is>
          <t>CHRISTINA CHUNG</t>
        </is>
      </c>
      <c r="E511" s="80" t="inlineStr">
        <is>
          <t>CURTIS BROWN JR.</t>
        </is>
      </c>
      <c r="F511" s="80" t="inlineStr">
        <is>
          <t>KIMBERLY CLARK</t>
        </is>
      </c>
      <c r="G511" s="80" t="inlineStr">
        <is>
          <t>CURTIS BROWN JR.</t>
        </is>
      </c>
      <c r="H511" s="80" t="inlineStr">
        <is>
          <t>220-1</t>
        </is>
      </c>
      <c r="I511" s="111">
        <f>COUNTIF(Tower_3!G:G,'All Associates'!A511)+COUNTIF(Tower_4!G:G,'All Associates'!A511)+COUNTIF(Tower_5!G:G,'All Associates'!A511)+COUNTIF(Tower_6!G:G,'All Associates'!A511)+COUNTIF(Riviera_3!G:G,'All Associates'!A511)+COUNTIF(Riviera_4!G:G,'All Associates'!A511)+COUNTIF(Riviera_5!G:G,'All Associates'!A511)</f>
        <v/>
      </c>
      <c r="J511" s="112">
        <f>IF(I511=0,"Not Allocated",IF(I511=1,"Allocated","Duplicate"))</f>
        <v/>
      </c>
    </row>
    <row r="512" hidden="1">
      <c r="A512" s="83" t="n">
        <v>421</v>
      </c>
      <c r="B512" s="80" t="inlineStr">
        <is>
          <t>STEPHANIE HUDSON</t>
        </is>
      </c>
      <c r="C512" s="80" t="inlineStr">
        <is>
          <t>Activ</t>
        </is>
      </c>
      <c r="D512" s="80" t="inlineStr">
        <is>
          <t>STEPHANIE HANSEN</t>
        </is>
      </c>
      <c r="E512" s="80" t="inlineStr">
        <is>
          <t>HEATHER SOLIS</t>
        </is>
      </c>
      <c r="F512" s="80" t="inlineStr">
        <is>
          <t>KIMBERLY CLARK</t>
        </is>
      </c>
      <c r="G512" s="80" t="inlineStr">
        <is>
          <t>HEATHER SOLIS</t>
        </is>
      </c>
      <c r="H512" s="80" t="inlineStr">
        <is>
          <t>138-1</t>
        </is>
      </c>
      <c r="I512" s="111">
        <f>COUNTIF(Tower_3!G:G,'All Associates'!A512)+COUNTIF(Tower_4!G:G,'All Associates'!A512)+COUNTIF(Tower_5!G:G,'All Associates'!A512)+COUNTIF(Tower_6!G:G,'All Associates'!A512)+COUNTIF(Riviera_3!G:G,'All Associates'!A512)+COUNTIF(Riviera_4!G:G,'All Associates'!A512)+COUNTIF(Riviera_5!G:G,'All Associates'!A512)</f>
        <v/>
      </c>
      <c r="J512" s="112">
        <f>IF(I512=0,"Not Allocated",IF(I512=1,"Allocated","Duplicate"))</f>
        <v/>
      </c>
    </row>
    <row r="513" hidden="1">
      <c r="A513" s="83" t="n">
        <v>768</v>
      </c>
      <c r="B513" s="80" t="inlineStr">
        <is>
          <t>STEPHEN CASTRO</t>
        </is>
      </c>
      <c r="C513" s="80" t="inlineStr">
        <is>
          <t>Activ</t>
        </is>
      </c>
      <c r="D513" s="80" t="inlineStr">
        <is>
          <t>ADAM SMITH</t>
        </is>
      </c>
      <c r="E513" s="80" t="inlineStr">
        <is>
          <t>PHILLIP TRAVIS</t>
        </is>
      </c>
      <c r="F513" s="80" t="inlineStr">
        <is>
          <t>KIMBERLY CLARK</t>
        </is>
      </c>
      <c r="G513" s="80" t="inlineStr">
        <is>
          <t>PHILLIP TRAVIS</t>
        </is>
      </c>
      <c r="H513" s="80" t="inlineStr">
        <is>
          <t>156-1</t>
        </is>
      </c>
      <c r="I513" s="111">
        <f>COUNTIF(Tower_3!G:G,'All Associates'!A513)+COUNTIF(Tower_4!G:G,'All Associates'!A513)+COUNTIF(Tower_5!G:G,'All Associates'!A513)+COUNTIF(Tower_6!G:G,'All Associates'!A513)+COUNTIF(Riviera_3!G:G,'All Associates'!A513)+COUNTIF(Riviera_4!G:G,'All Associates'!A513)+COUNTIF(Riviera_5!G:G,'All Associates'!A513)</f>
        <v/>
      </c>
      <c r="J513" s="112">
        <f>IF(I513=0,"Not Allocated",IF(I513=1,"Allocated","Duplicate"))</f>
        <v/>
      </c>
    </row>
    <row r="514" hidden="1">
      <c r="A514" s="83" t="n">
        <v>95</v>
      </c>
      <c r="B514" s="80" t="inlineStr">
        <is>
          <t>JESSICA SCOTT</t>
        </is>
      </c>
      <c r="C514" s="80" t="inlineStr">
        <is>
          <t>Activ</t>
        </is>
      </c>
      <c r="D514" s="80" t="inlineStr">
        <is>
          <t>JEFFREY JONES</t>
        </is>
      </c>
      <c r="E514" s="80" t="inlineStr">
        <is>
          <t>NATHAN HAMILTON</t>
        </is>
      </c>
      <c r="F514" s="80" t="inlineStr">
        <is>
          <t>KIMBERLY CLARK</t>
        </is>
      </c>
      <c r="G514" s="80" t="inlineStr">
        <is>
          <t>NATHAN HAMILTON</t>
        </is>
      </c>
      <c r="H514" s="80" t="inlineStr">
        <is>
          <t>221-1</t>
        </is>
      </c>
      <c r="I514" s="111">
        <f>COUNTIF(Tower_3!G:G,'All Associates'!A514)+COUNTIF(Tower_4!G:G,'All Associates'!A514)+COUNTIF(Tower_5!G:G,'All Associates'!A514)+COUNTIF(Tower_6!G:G,'All Associates'!A514)+COUNTIF(Riviera_3!G:G,'All Associates'!A514)+COUNTIF(Riviera_4!G:G,'All Associates'!A514)+COUNTIF(Riviera_5!G:G,'All Associates'!A514)</f>
        <v/>
      </c>
      <c r="J514" s="112">
        <f>IF(I514=0,"Not Allocated",IF(I514=1,"Allocated","Duplicate"))</f>
        <v/>
      </c>
    </row>
    <row r="515">
      <c r="A515" s="90" t="n">
        <v>697</v>
      </c>
      <c r="B515" s="91" t="inlineStr">
        <is>
          <t>JESSE PATTERSON</t>
        </is>
      </c>
      <c r="C515" s="91" t="inlineStr">
        <is>
          <t>Suspendat</t>
        </is>
      </c>
      <c r="D515" s="91" t="inlineStr">
        <is>
          <t>JEREMY CASTILLO</t>
        </is>
      </c>
      <c r="E515" s="91" t="inlineStr">
        <is>
          <t>ASHLEY FRENCH</t>
        </is>
      </c>
      <c r="F515" s="91" t="inlineStr">
        <is>
          <t>PHILLIP TRAVIS</t>
        </is>
      </c>
      <c r="G515" s="91" t="inlineStr">
        <is>
          <t>PHILLIP TRAVIS</t>
        </is>
      </c>
      <c r="H515" s="91" t="inlineStr">
        <is>
          <t>156-1</t>
        </is>
      </c>
      <c r="I515" s="111">
        <f>COUNTIF(Tower_3!G:G,'All Associates'!A515)+COUNTIF(Tower_4!G:G,'All Associates'!A515)+COUNTIF(Tower_5!G:G,'All Associates'!A515)+COUNTIF(Tower_6!G:G,'All Associates'!A515)+COUNTIF(Riviera_3!G:G,'All Associates'!A515)+COUNTIF(Riviera_4!G:G,'All Associates'!A515)+COUNTIF(Riviera_5!G:G,'All Associates'!A515)</f>
        <v/>
      </c>
      <c r="J515" s="112">
        <f>IF(I515=0,"Not Allocated",IF(I515=1,"Allocated","Duplicate"))</f>
        <v/>
      </c>
    </row>
    <row r="516" hidden="1">
      <c r="A516" s="83" t="n">
        <v>921</v>
      </c>
      <c r="B516" s="80" t="inlineStr">
        <is>
          <t>CESAR PONCE</t>
        </is>
      </c>
      <c r="C516" s="80" t="inlineStr">
        <is>
          <t>Activ</t>
        </is>
      </c>
      <c r="D516" s="80" t="inlineStr">
        <is>
          <t>CHRISTOPHER HUFFMAN</t>
        </is>
      </c>
      <c r="E516" s="80" t="inlineStr">
        <is>
          <t>CHARLES POWELL</t>
        </is>
      </c>
      <c r="F516" s="80" t="inlineStr">
        <is>
          <t>KIMBERLY CLARK</t>
        </is>
      </c>
      <c r="G516" s="80" t="inlineStr">
        <is>
          <t>CHARLES POWELL</t>
        </is>
      </c>
      <c r="H516" s="80" t="inlineStr">
        <is>
          <t>138-3</t>
        </is>
      </c>
      <c r="I516" s="111">
        <f>COUNTIF(Tower_3!G:G,'All Associates'!A516)+COUNTIF(Tower_4!G:G,'All Associates'!A516)+COUNTIF(Tower_5!G:G,'All Associates'!A516)+COUNTIF(Tower_6!G:G,'All Associates'!A516)+COUNTIF(Riviera_3!G:G,'All Associates'!A516)+COUNTIF(Riviera_4!G:G,'All Associates'!A516)+COUNTIF(Riviera_5!G:G,'All Associates'!A516)</f>
        <v/>
      </c>
      <c r="J516" s="112">
        <f>IF(I516=0,"Not Allocated",IF(I516=1,"Allocated","Duplicate"))</f>
        <v/>
      </c>
    </row>
    <row r="517" hidden="1">
      <c r="A517" s="83" t="n">
        <v>620</v>
      </c>
      <c r="B517" s="80" t="inlineStr">
        <is>
          <t>MELISSA JORDAN</t>
        </is>
      </c>
      <c r="C517" s="80" t="inlineStr">
        <is>
          <t>Activ</t>
        </is>
      </c>
      <c r="D517" s="80" t="inlineStr">
        <is>
          <t>BRAD COOLEY</t>
        </is>
      </c>
      <c r="E517" s="80" t="inlineStr">
        <is>
          <t>MR. MICHAEL KELLY</t>
        </is>
      </c>
      <c r="F517" s="80" t="inlineStr">
        <is>
          <t>HEATHER SOLIS</t>
        </is>
      </c>
      <c r="G517" s="80" t="inlineStr">
        <is>
          <t>HEATHER SOLIS</t>
        </is>
      </c>
      <c r="H517" s="80" t="inlineStr">
        <is>
          <t>138-2</t>
        </is>
      </c>
      <c r="I517" s="111">
        <f>COUNTIF(Tower_3!G:G,'All Associates'!A517)+COUNTIF(Tower_4!G:G,'All Associates'!A517)+COUNTIF(Tower_5!G:G,'All Associates'!A517)+COUNTIF(Tower_6!G:G,'All Associates'!A517)+COUNTIF(Riviera_3!G:G,'All Associates'!A517)+COUNTIF(Riviera_4!G:G,'All Associates'!A517)+COUNTIF(Riviera_5!G:G,'All Associates'!A517)</f>
        <v/>
      </c>
      <c r="J517" s="112">
        <f>IF(I517=0,"Not Allocated",IF(I517=1,"Allocated","Duplicate"))</f>
        <v/>
      </c>
    </row>
    <row r="518" hidden="1">
      <c r="A518" s="83" t="n">
        <v>237</v>
      </c>
      <c r="B518" s="80" t="inlineStr">
        <is>
          <t>JONATHON DOUGHERTY</t>
        </is>
      </c>
      <c r="C518" s="80" t="inlineStr">
        <is>
          <t>Activ</t>
        </is>
      </c>
      <c r="D518" s="80" t="inlineStr">
        <is>
          <t>KENNETH DOUGHERTY</t>
        </is>
      </c>
      <c r="E518" s="80" t="inlineStr">
        <is>
          <t>CHELSEA CAMPBELL</t>
        </is>
      </c>
      <c r="F518" s="80" t="inlineStr">
        <is>
          <t>KENNETH CONRAD</t>
        </is>
      </c>
      <c r="G518" s="80" t="inlineStr">
        <is>
          <t>KENNETH CONRAD</t>
        </is>
      </c>
      <c r="H518" s="80" t="inlineStr">
        <is>
          <t>153-1</t>
        </is>
      </c>
      <c r="I518" s="111">
        <f>COUNTIF(Tower_3!G:G,'All Associates'!A518)+COUNTIF(Tower_4!G:G,'All Associates'!A518)+COUNTIF(Tower_5!G:G,'All Associates'!A518)+COUNTIF(Tower_6!G:G,'All Associates'!A518)+COUNTIF(Riviera_3!G:G,'All Associates'!A518)+COUNTIF(Riviera_4!G:G,'All Associates'!A518)+COUNTIF(Riviera_5!G:G,'All Associates'!A518)</f>
        <v/>
      </c>
      <c r="J518" s="112">
        <f>IF(I518=0,"Not Allocated",IF(I518=1,"Allocated","Duplicate"))</f>
        <v/>
      </c>
    </row>
    <row r="519" hidden="1">
      <c r="A519" s="83" t="n">
        <v>1123</v>
      </c>
      <c r="B519" s="80" t="inlineStr">
        <is>
          <t>SHEILA HALL</t>
        </is>
      </c>
      <c r="C519" s="80" t="inlineStr">
        <is>
          <t>Activ</t>
        </is>
      </c>
      <c r="D519" s="80" t="inlineStr">
        <is>
          <t>LESLIE DIAZ</t>
        </is>
      </c>
      <c r="E519" s="80" t="inlineStr">
        <is>
          <t>ALEXANDER BAUTISTA</t>
        </is>
      </c>
      <c r="F519" s="80" t="inlineStr">
        <is>
          <t>HEATHER SOLIS</t>
        </is>
      </c>
      <c r="G519" s="80" t="inlineStr">
        <is>
          <t>HEATHER SOLIS</t>
        </is>
      </c>
      <c r="H519" s="80" t="inlineStr">
        <is>
          <t>138-1</t>
        </is>
      </c>
      <c r="I519" s="111">
        <f>COUNTIF(Tower_3!G:G,'All Associates'!A519)+COUNTIF(Tower_4!G:G,'All Associates'!A519)+COUNTIF(Tower_5!G:G,'All Associates'!A519)+COUNTIF(Tower_6!G:G,'All Associates'!A519)+COUNTIF(Riviera_3!G:G,'All Associates'!A519)+COUNTIF(Riviera_4!G:G,'All Associates'!A519)+COUNTIF(Riviera_5!G:G,'All Associates'!A519)</f>
        <v/>
      </c>
      <c r="J519" s="112">
        <f>IF(I519=0,"Not Allocated",IF(I519=1,"Allocated","Duplicate"))</f>
        <v/>
      </c>
    </row>
    <row r="520" hidden="1">
      <c r="A520" s="83" t="n">
        <v>1070</v>
      </c>
      <c r="B520" s="80" t="inlineStr">
        <is>
          <t>STEPHEN FLYNN</t>
        </is>
      </c>
      <c r="C520" s="80" t="inlineStr">
        <is>
          <t>Activ</t>
        </is>
      </c>
      <c r="D520" s="80" t="inlineStr">
        <is>
          <t>LOUIS PETERSEN</t>
        </is>
      </c>
      <c r="E520" s="80" t="inlineStr">
        <is>
          <t>KENNETH CONRAD</t>
        </is>
      </c>
      <c r="F520" s="80" t="inlineStr">
        <is>
          <t>KIMBERLY CLARK</t>
        </is>
      </c>
      <c r="G520" s="80" t="inlineStr">
        <is>
          <t>KENNETH CONRAD</t>
        </is>
      </c>
      <c r="H520" s="80" t="inlineStr">
        <is>
          <t>127-1</t>
        </is>
      </c>
      <c r="I520" s="111">
        <f>COUNTIF(Tower_3!G:G,'All Associates'!A520)+COUNTIF(Tower_4!G:G,'All Associates'!A520)+COUNTIF(Tower_5!G:G,'All Associates'!A520)+COUNTIF(Tower_6!G:G,'All Associates'!A520)+COUNTIF(Riviera_3!G:G,'All Associates'!A520)+COUNTIF(Riviera_4!G:G,'All Associates'!A520)+COUNTIF(Riviera_5!G:G,'All Associates'!A520)</f>
        <v/>
      </c>
      <c r="J520" s="112">
        <f>IF(I520=0,"Not Allocated",IF(I520=1,"Allocated","Duplicate"))</f>
        <v/>
      </c>
    </row>
    <row r="521" hidden="1">
      <c r="A521" s="83" t="n">
        <v>549</v>
      </c>
      <c r="B521" s="80" t="inlineStr">
        <is>
          <t>KAREN LITTLE</t>
        </is>
      </c>
      <c r="C521" s="80" t="inlineStr">
        <is>
          <t>Activ</t>
        </is>
      </c>
      <c r="D521" s="80" t="inlineStr">
        <is>
          <t>KATHRYN ABBOTT</t>
        </is>
      </c>
      <c r="E521" s="80" t="inlineStr">
        <is>
          <t>ALEXANDER MILLER</t>
        </is>
      </c>
      <c r="F521" s="80" t="inlineStr">
        <is>
          <t>KIMBERLY CLARK</t>
        </is>
      </c>
      <c r="G521" s="80" t="inlineStr">
        <is>
          <t>ALEXANDER MILLER</t>
        </is>
      </c>
      <c r="H521" s="80" t="inlineStr">
        <is>
          <t>135-1</t>
        </is>
      </c>
      <c r="I521" s="111">
        <f>COUNTIF(Tower_3!G:G,'All Associates'!A521)+COUNTIF(Tower_4!G:G,'All Associates'!A521)+COUNTIF(Tower_5!G:G,'All Associates'!A521)+COUNTIF(Tower_6!G:G,'All Associates'!A521)+COUNTIF(Riviera_3!G:G,'All Associates'!A521)+COUNTIF(Riviera_4!G:G,'All Associates'!A521)+COUNTIF(Riviera_5!G:G,'All Associates'!A521)</f>
        <v/>
      </c>
      <c r="J521" s="112">
        <f>IF(I521=0,"Not Allocated",IF(I521=1,"Allocated","Duplicate"))</f>
        <v/>
      </c>
    </row>
    <row r="522" hidden="1">
      <c r="A522" s="83" t="n">
        <v>788</v>
      </c>
      <c r="B522" s="80" t="inlineStr">
        <is>
          <t>TODD GUZMAN</t>
        </is>
      </c>
      <c r="C522" s="80" t="inlineStr">
        <is>
          <t>Activ</t>
        </is>
      </c>
      <c r="D522" s="80" t="inlineStr">
        <is>
          <t>KATHRYN ABBOTT</t>
        </is>
      </c>
      <c r="E522" s="80" t="inlineStr">
        <is>
          <t>ALEXANDER MILLER</t>
        </is>
      </c>
      <c r="F522" s="80" t="inlineStr">
        <is>
          <t>KIMBERLY CLARK</t>
        </is>
      </c>
      <c r="G522" s="80" t="inlineStr">
        <is>
          <t>ALEXANDER MILLER</t>
        </is>
      </c>
      <c r="H522" s="80" t="inlineStr">
        <is>
          <t>135-1</t>
        </is>
      </c>
      <c r="I522" s="111">
        <f>COUNTIF(Tower_3!G:G,'All Associates'!A522)+COUNTIF(Tower_4!G:G,'All Associates'!A522)+COUNTIF(Tower_5!G:G,'All Associates'!A522)+COUNTIF(Tower_6!G:G,'All Associates'!A522)+COUNTIF(Riviera_3!G:G,'All Associates'!A522)+COUNTIF(Riviera_4!G:G,'All Associates'!A522)+COUNTIF(Riviera_5!G:G,'All Associates'!A522)</f>
        <v/>
      </c>
      <c r="J522" s="112">
        <f>IF(I522=0,"Not Allocated",IF(I522=1,"Allocated","Duplicate"))</f>
        <v/>
      </c>
    </row>
    <row r="523" hidden="1">
      <c r="A523" s="83" t="n">
        <v>718</v>
      </c>
      <c r="B523" s="80" t="inlineStr">
        <is>
          <t>KRISTIN BROWN</t>
        </is>
      </c>
      <c r="C523" s="80" t="inlineStr">
        <is>
          <t>Activ</t>
        </is>
      </c>
      <c r="D523" s="80" t="inlineStr">
        <is>
          <t>JOHN SCOTT DDS</t>
        </is>
      </c>
      <c r="E523" s="80" t="inlineStr">
        <is>
          <t>ADAM SMITH</t>
        </is>
      </c>
      <c r="F523" s="80" t="inlineStr">
        <is>
          <t>PHILLIP TRAVIS</t>
        </is>
      </c>
      <c r="G523" s="80" t="inlineStr">
        <is>
          <t>PHILLIP TRAVIS</t>
        </is>
      </c>
      <c r="H523" s="80" t="inlineStr">
        <is>
          <t>156-1</t>
        </is>
      </c>
      <c r="I523" s="111">
        <f>COUNTIF(Tower_3!G:G,'All Associates'!A523)+COUNTIF(Tower_4!G:G,'All Associates'!A523)+COUNTIF(Tower_5!G:G,'All Associates'!A523)+COUNTIF(Tower_6!G:G,'All Associates'!A523)+COUNTIF(Riviera_3!G:G,'All Associates'!A523)+COUNTIF(Riviera_4!G:G,'All Associates'!A523)+COUNTIF(Riviera_5!G:G,'All Associates'!A523)</f>
        <v/>
      </c>
      <c r="J523" s="112">
        <f>IF(I523=0,"Not Allocated",IF(I523=1,"Allocated","Duplicate"))</f>
        <v/>
      </c>
    </row>
    <row r="524" hidden="1">
      <c r="A524" s="83" t="n">
        <v>1053</v>
      </c>
      <c r="B524" s="80" t="inlineStr">
        <is>
          <t>TOMMY HERRERA</t>
        </is>
      </c>
      <c r="C524" s="80" t="inlineStr">
        <is>
          <t>Activ</t>
        </is>
      </c>
      <c r="D524" s="80" t="inlineStr">
        <is>
          <t>KATHERINE ANDREWS</t>
        </is>
      </c>
      <c r="E524" s="80" t="inlineStr">
        <is>
          <t>CHAD PEREZ</t>
        </is>
      </c>
      <c r="F524" s="80" t="inlineStr">
        <is>
          <t>MARISSA CROSS</t>
        </is>
      </c>
      <c r="G524" s="80" t="inlineStr">
        <is>
          <t>MARISSA CROSS</t>
        </is>
      </c>
      <c r="H524" s="80" t="inlineStr">
        <is>
          <t>220-2</t>
        </is>
      </c>
      <c r="I524" s="111">
        <f>COUNTIF(Tower_3!G:G,'All Associates'!A524)+COUNTIF(Tower_4!G:G,'All Associates'!A524)+COUNTIF(Tower_5!G:G,'All Associates'!A524)+COUNTIF(Tower_6!G:G,'All Associates'!A524)+COUNTIF(Riviera_3!G:G,'All Associates'!A524)+COUNTIF(Riviera_4!G:G,'All Associates'!A524)+COUNTIF(Riviera_5!G:G,'All Associates'!A524)</f>
        <v/>
      </c>
      <c r="J524" s="112">
        <f>IF(I524=0,"Not Allocated",IF(I524=1,"Allocated","Duplicate"))</f>
        <v/>
      </c>
    </row>
    <row r="525" hidden="1">
      <c r="A525" s="83" t="n">
        <v>199</v>
      </c>
      <c r="B525" s="80" t="inlineStr">
        <is>
          <t>ALVIN GONZALES</t>
        </is>
      </c>
      <c r="C525" s="80" t="inlineStr">
        <is>
          <t>Activ</t>
        </is>
      </c>
      <c r="D525" s="80" t="inlineStr">
        <is>
          <t>ALEXANDER MILLER</t>
        </is>
      </c>
      <c r="E525" s="80" t="inlineStr">
        <is>
          <t>KIMBERLY CLARK</t>
        </is>
      </c>
      <c r="F525" s="80" t="inlineStr">
        <is>
          <t>KIMBERLY CLARK</t>
        </is>
      </c>
      <c r="G525" s="80" t="inlineStr">
        <is>
          <t>ALEXANDER MILLER</t>
        </is>
      </c>
      <c r="H525" s="80" t="inlineStr">
        <is>
          <t>135-1</t>
        </is>
      </c>
      <c r="I525" s="111">
        <f>COUNTIF(Tower_3!G:G,'All Associates'!A525)+COUNTIF(Tower_4!G:G,'All Associates'!A525)+COUNTIF(Tower_5!G:G,'All Associates'!A525)+COUNTIF(Tower_6!G:G,'All Associates'!A525)+COUNTIF(Riviera_3!G:G,'All Associates'!A525)+COUNTIF(Riviera_4!G:G,'All Associates'!A525)+COUNTIF(Riviera_5!G:G,'All Associates'!A525)</f>
        <v/>
      </c>
      <c r="J525" s="112">
        <f>IF(I525=0,"Not Allocated",IF(I525=1,"Allocated","Duplicate"))</f>
        <v/>
      </c>
    </row>
    <row r="526" hidden="1">
      <c r="A526" s="88" t="n">
        <v>687</v>
      </c>
      <c r="B526" s="89" t="inlineStr">
        <is>
          <t>ROBERT DAVIS</t>
        </is>
      </c>
      <c r="C526" s="89" t="inlineStr">
        <is>
          <t>Activ</t>
        </is>
      </c>
      <c r="D526" s="89" t="inlineStr">
        <is>
          <t>DOROTHY MARSHALL</t>
        </is>
      </c>
      <c r="E526" s="89" t="inlineStr">
        <is>
          <t>KIMBERLY CLARK</t>
        </is>
      </c>
      <c r="F526" s="89" t="inlineStr">
        <is>
          <t>KIMBERLY CLARK</t>
        </is>
      </c>
      <c r="G526" s="89" t="inlineStr">
        <is>
          <t>KIMBERLY CLARK</t>
        </is>
      </c>
      <c r="H526" s="89" t="inlineStr">
        <is>
          <t>230-1</t>
        </is>
      </c>
      <c r="I526" s="111">
        <f>COUNTIF(Tower_3!G:G,'All Associates'!A526)+COUNTIF(Tower_4!G:G,'All Associates'!A526)+COUNTIF(Tower_5!G:G,'All Associates'!A526)+COUNTIF(Tower_6!G:G,'All Associates'!A526)+COUNTIF(Riviera_3!G:G,'All Associates'!A526)+COUNTIF(Riviera_4!G:G,'All Associates'!A526)+COUNTIF(Riviera_5!G:G,'All Associates'!A526)</f>
        <v/>
      </c>
      <c r="J526" s="112">
        <f>IF(I526=0,"Not Allocated",IF(I526=1,"Allocated","Duplicate"))</f>
        <v/>
      </c>
    </row>
    <row r="527" hidden="1">
      <c r="A527" s="83" t="n">
        <v>1153</v>
      </c>
      <c r="B527" s="80" t="inlineStr">
        <is>
          <t>BLAKE WEST</t>
        </is>
      </c>
      <c r="C527" s="80" t="inlineStr">
        <is>
          <t>Activ</t>
        </is>
      </c>
      <c r="D527" s="80" t="inlineStr">
        <is>
          <t>DENNIS AGUIRRE</t>
        </is>
      </c>
      <c r="E527" s="80" t="inlineStr">
        <is>
          <t>ADAM SMITH</t>
        </is>
      </c>
      <c r="F527" s="80" t="inlineStr">
        <is>
          <t>PHILLIP TRAVIS</t>
        </is>
      </c>
      <c r="G527" s="80" t="inlineStr">
        <is>
          <t>PHILLIP TRAVIS</t>
        </is>
      </c>
      <c r="H527" s="80" t="inlineStr">
        <is>
          <t>156-1</t>
        </is>
      </c>
      <c r="I527" s="111">
        <f>COUNTIF(Tower_3!G:G,'All Associates'!A527)+COUNTIF(Tower_4!G:G,'All Associates'!A527)+COUNTIF(Tower_5!G:G,'All Associates'!A527)+COUNTIF(Tower_6!G:G,'All Associates'!A527)+COUNTIF(Riviera_3!G:G,'All Associates'!A527)+COUNTIF(Riviera_4!G:G,'All Associates'!A527)+COUNTIF(Riviera_5!G:G,'All Associates'!A527)</f>
        <v/>
      </c>
      <c r="J527" s="112">
        <f>IF(I527=0,"Not Allocated",IF(I527=1,"Allocated","Duplicate"))</f>
        <v/>
      </c>
    </row>
    <row r="528" hidden="1">
      <c r="A528" s="88" t="n">
        <v>587</v>
      </c>
      <c r="B528" s="89" t="inlineStr">
        <is>
          <t>JUSTIN JOHNSON</t>
        </is>
      </c>
      <c r="C528" s="89" t="inlineStr">
        <is>
          <t>Activ</t>
        </is>
      </c>
      <c r="D528" s="89" t="inlineStr">
        <is>
          <t>CHARLES POWELL</t>
        </is>
      </c>
      <c r="E528" s="89" t="inlineStr">
        <is>
          <t>KIMBERLY CLARK</t>
        </is>
      </c>
      <c r="F528" s="89" t="inlineStr">
        <is>
          <t>KIMBERLY CLARK</t>
        </is>
      </c>
      <c r="G528" s="89" t="inlineStr">
        <is>
          <t>CHARLES POWELL</t>
        </is>
      </c>
      <c r="H528" s="89" t="inlineStr">
        <is>
          <t>138-3</t>
        </is>
      </c>
      <c r="I528" s="111">
        <f>COUNTIF(Tower_3!G:G,'All Associates'!A528)+COUNTIF(Tower_4!G:G,'All Associates'!A528)+COUNTIF(Tower_5!G:G,'All Associates'!A528)+COUNTIF(Tower_6!G:G,'All Associates'!A528)+COUNTIF(Riviera_3!G:G,'All Associates'!A528)+COUNTIF(Riviera_4!G:G,'All Associates'!A528)+COUNTIF(Riviera_5!G:G,'All Associates'!A528)</f>
        <v/>
      </c>
      <c r="J528" s="112">
        <f>IF(I528=0,"Not Allocated",IF(I528=1,"Allocated","Duplicate"))</f>
        <v/>
      </c>
    </row>
    <row r="529" hidden="1">
      <c r="A529" s="83" t="n">
        <v>1116</v>
      </c>
      <c r="B529" s="80" t="inlineStr">
        <is>
          <t>JOSHUA PERRY</t>
        </is>
      </c>
      <c r="C529" s="80" t="inlineStr">
        <is>
          <t>Activ</t>
        </is>
      </c>
      <c r="D529" s="80" t="inlineStr">
        <is>
          <t>DENNIS AGUIRRE</t>
        </is>
      </c>
      <c r="E529" s="80" t="inlineStr">
        <is>
          <t>ADAM SMITH</t>
        </is>
      </c>
      <c r="F529" s="80" t="inlineStr">
        <is>
          <t>PHILLIP TRAVIS</t>
        </is>
      </c>
      <c r="G529" s="80" t="inlineStr">
        <is>
          <t>PHILLIP TRAVIS</t>
        </is>
      </c>
      <c r="H529" s="80" t="inlineStr">
        <is>
          <t>156-1</t>
        </is>
      </c>
      <c r="I529" s="111">
        <f>COUNTIF(Tower_3!G:G,'All Associates'!A529)+COUNTIF(Tower_4!G:G,'All Associates'!A529)+COUNTIF(Tower_5!G:G,'All Associates'!A529)+COUNTIF(Tower_6!G:G,'All Associates'!A529)+COUNTIF(Riviera_3!G:G,'All Associates'!A529)+COUNTIF(Riviera_4!G:G,'All Associates'!A529)+COUNTIF(Riviera_5!G:G,'All Associates'!A529)</f>
        <v/>
      </c>
      <c r="J529" s="112">
        <f>IF(I529=0,"Not Allocated",IF(I529=1,"Allocated","Duplicate"))</f>
        <v/>
      </c>
    </row>
    <row r="530" hidden="1">
      <c r="A530" s="83" t="n">
        <v>663</v>
      </c>
      <c r="B530" s="80" t="inlineStr">
        <is>
          <t>MARY PENNINGTON</t>
        </is>
      </c>
      <c r="C530" s="80" t="inlineStr">
        <is>
          <t>Activ</t>
        </is>
      </c>
      <c r="D530" s="80" t="inlineStr">
        <is>
          <t>JEFFERY MOYER</t>
        </is>
      </c>
      <c r="E530" s="80" t="inlineStr">
        <is>
          <t>KENNETH CONRAD</t>
        </is>
      </c>
      <c r="F530" s="80" t="inlineStr">
        <is>
          <t>KIMBERLY CLARK</t>
        </is>
      </c>
      <c r="G530" s="80" t="inlineStr">
        <is>
          <t>KENNETH CONRAD</t>
        </is>
      </c>
      <c r="H530" s="80" t="inlineStr">
        <is>
          <t>133-1</t>
        </is>
      </c>
      <c r="I530" s="111">
        <f>COUNTIF(Tower_3!G:G,'All Associates'!A530)+COUNTIF(Tower_4!G:G,'All Associates'!A530)+COUNTIF(Tower_5!G:G,'All Associates'!A530)+COUNTIF(Tower_6!G:G,'All Associates'!A530)+COUNTIF(Riviera_3!G:G,'All Associates'!A530)+COUNTIF(Riviera_4!G:G,'All Associates'!A530)+COUNTIF(Riviera_5!G:G,'All Associates'!A530)</f>
        <v/>
      </c>
      <c r="J530" s="112">
        <f>IF(I530=0,"Not Allocated",IF(I530=1,"Allocated","Duplicate"))</f>
        <v/>
      </c>
    </row>
    <row r="531" hidden="1">
      <c r="A531" s="83" t="n">
        <v>856</v>
      </c>
      <c r="B531" s="80" t="inlineStr">
        <is>
          <t>MELISSA BALL</t>
        </is>
      </c>
      <c r="C531" s="80" t="inlineStr">
        <is>
          <t>Activ</t>
        </is>
      </c>
      <c r="D531" s="80" t="inlineStr">
        <is>
          <t>DONALD WHITE</t>
        </is>
      </c>
      <c r="E531" s="80" t="inlineStr">
        <is>
          <t>MARISSA CROSS</t>
        </is>
      </c>
      <c r="F531" s="80" t="inlineStr">
        <is>
          <t>KIMBERLY CLARK</t>
        </is>
      </c>
      <c r="G531" s="80" t="inlineStr">
        <is>
          <t>MARISSA CROSS</t>
        </is>
      </c>
      <c r="H531" s="80" t="inlineStr">
        <is>
          <t>220-2</t>
        </is>
      </c>
      <c r="I531" s="111">
        <f>COUNTIF(Tower_3!G:G,'All Associates'!A531)+COUNTIF(Tower_4!G:G,'All Associates'!A531)+COUNTIF(Tower_5!G:G,'All Associates'!A531)+COUNTIF(Tower_6!G:G,'All Associates'!A531)+COUNTIF(Riviera_3!G:G,'All Associates'!A531)+COUNTIF(Riviera_4!G:G,'All Associates'!A531)+COUNTIF(Riviera_5!G:G,'All Associates'!A531)</f>
        <v/>
      </c>
      <c r="J531" s="112">
        <f>IF(I531=0,"Not Allocated",IF(I531=1,"Allocated","Duplicate"))</f>
        <v/>
      </c>
    </row>
    <row r="532" hidden="1">
      <c r="A532" s="83" t="n">
        <v>1058</v>
      </c>
      <c r="B532" s="80" t="inlineStr">
        <is>
          <t>JUSTIN GREEN</t>
        </is>
      </c>
      <c r="C532" s="80" t="inlineStr">
        <is>
          <t>Activ</t>
        </is>
      </c>
      <c r="D532" s="80" t="inlineStr">
        <is>
          <t>JOSHUA FRENCH</t>
        </is>
      </c>
      <c r="E532" s="80" t="inlineStr">
        <is>
          <t>STEPHANIE WEAVER</t>
        </is>
      </c>
      <c r="F532" s="80" t="inlineStr">
        <is>
          <t>MARISSA CROSS</t>
        </is>
      </c>
      <c r="G532" s="80" t="inlineStr">
        <is>
          <t>MARISSA CROSS</t>
        </is>
      </c>
      <c r="H532" s="80" t="inlineStr">
        <is>
          <t>220-2</t>
        </is>
      </c>
      <c r="I532" s="111">
        <f>COUNTIF(Tower_3!G:G,'All Associates'!A532)+COUNTIF(Tower_4!G:G,'All Associates'!A532)+COUNTIF(Tower_5!G:G,'All Associates'!A532)+COUNTIF(Tower_6!G:G,'All Associates'!A532)+COUNTIF(Riviera_3!G:G,'All Associates'!A532)+COUNTIF(Riviera_4!G:G,'All Associates'!A532)+COUNTIF(Riviera_5!G:G,'All Associates'!A532)</f>
        <v/>
      </c>
      <c r="J532" s="112">
        <f>IF(I532=0,"Not Allocated",IF(I532=1,"Allocated","Duplicate"))</f>
        <v/>
      </c>
    </row>
    <row r="533" hidden="1">
      <c r="A533" s="83" t="n">
        <v>1194</v>
      </c>
      <c r="B533" s="80" t="inlineStr">
        <is>
          <t>MARIA WARREN</t>
        </is>
      </c>
      <c r="C533" s="80" t="inlineStr">
        <is>
          <t>Activ</t>
        </is>
      </c>
      <c r="D533" s="80" t="inlineStr">
        <is>
          <t>TRAVIS WHITE</t>
        </is>
      </c>
      <c r="E533" s="80" t="inlineStr">
        <is>
          <t>KIMBERLY CLARK</t>
        </is>
      </c>
      <c r="F533" s="80" t="inlineStr">
        <is>
          <t>KIMBERLY CLARK</t>
        </is>
      </c>
      <c r="G533" s="80" t="inlineStr">
        <is>
          <t>KIMBERLY CLARK</t>
        </is>
      </c>
      <c r="H533" s="80" t="inlineStr">
        <is>
          <t>200-1</t>
        </is>
      </c>
      <c r="I533" s="111">
        <f>COUNTIF(Tower_3!G:G,'All Associates'!A533)+COUNTIF(Tower_4!G:G,'All Associates'!A533)+COUNTIF(Tower_5!G:G,'All Associates'!A533)+COUNTIF(Tower_6!G:G,'All Associates'!A533)+COUNTIF(Riviera_3!G:G,'All Associates'!A533)+COUNTIF(Riviera_4!G:G,'All Associates'!A533)+COUNTIF(Riviera_5!G:G,'All Associates'!A533)</f>
        <v/>
      </c>
      <c r="J533" s="112">
        <f>IF(I533=0,"Not Allocated",IF(I533=1,"Allocated","Duplicate"))</f>
        <v/>
      </c>
    </row>
    <row r="534" hidden="1">
      <c r="A534" s="83" t="n">
        <v>1241</v>
      </c>
      <c r="B534" s="80" t="inlineStr">
        <is>
          <t>CHRISTY STOKES</t>
        </is>
      </c>
      <c r="C534" s="80" t="inlineStr">
        <is>
          <t>Activ</t>
        </is>
      </c>
      <c r="D534" s="80" t="inlineStr">
        <is>
          <t>LOUIS PETERSEN</t>
        </is>
      </c>
      <c r="E534" s="80" t="inlineStr">
        <is>
          <t>KENNETH CONRAD</t>
        </is>
      </c>
      <c r="F534" s="80" t="inlineStr">
        <is>
          <t>KIMBERLY CLARK</t>
        </is>
      </c>
      <c r="G534" s="80" t="inlineStr">
        <is>
          <t>KENNETH CONRAD</t>
        </is>
      </c>
      <c r="H534" s="80" t="inlineStr">
        <is>
          <t>127-1</t>
        </is>
      </c>
      <c r="I534" s="111">
        <f>COUNTIF(Tower_3!G:G,'All Associates'!A534)+COUNTIF(Tower_4!G:G,'All Associates'!A534)+COUNTIF(Tower_5!G:G,'All Associates'!A534)+COUNTIF(Tower_6!G:G,'All Associates'!A534)+COUNTIF(Riviera_3!G:G,'All Associates'!A534)+COUNTIF(Riviera_4!G:G,'All Associates'!A534)+COUNTIF(Riviera_5!G:G,'All Associates'!A534)</f>
        <v/>
      </c>
      <c r="J534" s="112">
        <f>IF(I534=0,"Not Allocated",IF(I534=1,"Allocated","Duplicate"))</f>
        <v/>
      </c>
    </row>
    <row r="535" hidden="1">
      <c r="A535" s="113" t="n">
        <v>851</v>
      </c>
      <c r="B535" s="114" t="inlineStr">
        <is>
          <t>JULIA WELCH</t>
        </is>
      </c>
      <c r="C535" s="114" t="inlineStr">
        <is>
          <t>Activ</t>
        </is>
      </c>
      <c r="D535" s="114" t="inlineStr">
        <is>
          <t>DAVID HARTMAN</t>
        </is>
      </c>
      <c r="E535" s="114" t="inlineStr">
        <is>
          <t>STEPHANIE WEAVER</t>
        </is>
      </c>
      <c r="F535" s="114" t="inlineStr">
        <is>
          <t>MARISSA CROSS</t>
        </is>
      </c>
      <c r="G535" s="114" t="inlineStr">
        <is>
          <t>MARISSA CROSS</t>
        </is>
      </c>
      <c r="H535" s="114" t="inlineStr">
        <is>
          <t>220-2</t>
        </is>
      </c>
      <c r="I535" s="111">
        <f>COUNTIF(Tower_3!G:G,'All Associates'!A535)+COUNTIF(Tower_4!G:G,'All Associates'!A535)+COUNTIF(Tower_5!G:G,'All Associates'!A535)+COUNTIF(Tower_6!G:G,'All Associates'!A535)+COUNTIF(Riviera_3!G:G,'All Associates'!A535)+COUNTIF(Riviera_4!G:G,'All Associates'!A535)+COUNTIF(Riviera_5!G:G,'All Associates'!A535)</f>
        <v/>
      </c>
      <c r="J535" s="112">
        <f>IF(I535=0,"Not Allocated",IF(I535=1,"Allocated","Duplicate"))</f>
        <v/>
      </c>
    </row>
    <row r="536" hidden="1">
      <c r="A536" s="83" t="n">
        <v>983</v>
      </c>
      <c r="B536" s="80" t="inlineStr">
        <is>
          <t>MICHAEL CRUZ</t>
        </is>
      </c>
      <c r="C536" s="80" t="inlineStr">
        <is>
          <t>Activ</t>
        </is>
      </c>
      <c r="D536" s="80" t="inlineStr">
        <is>
          <t>TRAVIS WHITE</t>
        </is>
      </c>
      <c r="E536" s="80" t="inlineStr">
        <is>
          <t>KIMBERLY CLARK</t>
        </is>
      </c>
      <c r="F536" s="80" t="inlineStr">
        <is>
          <t>KIMBERLY CLARK</t>
        </is>
      </c>
      <c r="G536" s="80" t="inlineStr">
        <is>
          <t>KIMBERLY CLARK</t>
        </is>
      </c>
      <c r="H536" s="80" t="inlineStr">
        <is>
          <t>200-1</t>
        </is>
      </c>
      <c r="I536" s="111">
        <f>COUNTIF(Tower_3!G:G,'All Associates'!A536)+COUNTIF(Tower_4!G:G,'All Associates'!A536)+COUNTIF(Tower_5!G:G,'All Associates'!A536)+COUNTIF(Tower_6!G:G,'All Associates'!A536)+COUNTIF(Riviera_3!G:G,'All Associates'!A536)+COUNTIF(Riviera_4!G:G,'All Associates'!A536)+COUNTIF(Riviera_5!G:G,'All Associates'!A536)</f>
        <v/>
      </c>
      <c r="J536" s="112">
        <f>IF(I536=0,"Not Allocated",IF(I536=1,"Allocated","Duplicate"))</f>
        <v/>
      </c>
    </row>
    <row r="537" hidden="1">
      <c r="A537" s="88" t="n">
        <v>64</v>
      </c>
      <c r="B537" s="89" t="inlineStr">
        <is>
          <t>CHRISTINE MITCHELL</t>
        </is>
      </c>
      <c r="C537" s="89" t="inlineStr">
        <is>
          <t>Activ</t>
        </is>
      </c>
      <c r="D537" s="89" t="inlineStr">
        <is>
          <t>KIMBERLY CLARK</t>
        </is>
      </c>
      <c r="E537" s="89" t="inlineStr">
        <is>
          <t>KIMBERLY CLARK</t>
        </is>
      </c>
      <c r="F537" s="89" t="inlineStr">
        <is>
          <t>KIMBERLY CLARK</t>
        </is>
      </c>
      <c r="G537" s="89" t="inlineStr">
        <is>
          <t>ALEXANDER MILLER</t>
        </is>
      </c>
      <c r="H537" s="89" t="inlineStr">
        <is>
          <t>135-1</t>
        </is>
      </c>
      <c r="I537" s="111">
        <f>COUNTIF(Tower_3!G:G,'All Associates'!A537)+COUNTIF(Tower_4!G:G,'All Associates'!A537)+COUNTIF(Tower_5!G:G,'All Associates'!A537)+COUNTIF(Tower_6!G:G,'All Associates'!A537)+COUNTIF(Riviera_3!G:G,'All Associates'!A537)+COUNTIF(Riviera_4!G:G,'All Associates'!A537)+COUNTIF(Riviera_5!G:G,'All Associates'!A537)</f>
        <v/>
      </c>
      <c r="J537" s="112">
        <f>IF(I537=0,"Not Allocated",IF(I537=1,"Allocated","Duplicate"))</f>
        <v/>
      </c>
    </row>
    <row r="538" hidden="1">
      <c r="A538" s="83" t="n">
        <v>317</v>
      </c>
      <c r="B538" s="80" t="inlineStr">
        <is>
          <t>DEBRA BROWN</t>
        </is>
      </c>
      <c r="C538" s="80" t="inlineStr">
        <is>
          <t>Activ</t>
        </is>
      </c>
      <c r="D538" s="80" t="inlineStr">
        <is>
          <t>ADAM SMITH</t>
        </is>
      </c>
      <c r="E538" s="80" t="inlineStr">
        <is>
          <t>PHILLIP TRAVIS</t>
        </is>
      </c>
      <c r="F538" s="80" t="inlineStr">
        <is>
          <t>KIMBERLY CLARK</t>
        </is>
      </c>
      <c r="G538" s="80" t="inlineStr">
        <is>
          <t>PHILLIP TRAVIS</t>
        </is>
      </c>
      <c r="H538" s="80" t="inlineStr">
        <is>
          <t>156-1</t>
        </is>
      </c>
      <c r="I538" s="111">
        <f>COUNTIF(Tower_3!G:G,'All Associates'!A538)+COUNTIF(Tower_4!G:G,'All Associates'!A538)+COUNTIF(Tower_5!G:G,'All Associates'!A538)+COUNTIF(Tower_6!G:G,'All Associates'!A538)+COUNTIF(Riviera_3!G:G,'All Associates'!A538)+COUNTIF(Riviera_4!G:G,'All Associates'!A538)+COUNTIF(Riviera_5!G:G,'All Associates'!A538)</f>
        <v/>
      </c>
      <c r="J538" s="112">
        <f>IF(I538=0,"Not Allocated",IF(I538=1,"Allocated","Duplicate"))</f>
        <v/>
      </c>
    </row>
    <row r="539" hidden="1">
      <c r="A539" s="83" t="n">
        <v>568</v>
      </c>
      <c r="B539" s="80" t="inlineStr">
        <is>
          <t>DR. JOSHUA REEVES PHD</t>
        </is>
      </c>
      <c r="C539" s="80" t="inlineStr">
        <is>
          <t>Activ</t>
        </is>
      </c>
      <c r="D539" s="80" t="inlineStr">
        <is>
          <t>GARRETT PARKER</t>
        </is>
      </c>
      <c r="E539" s="80" t="inlineStr">
        <is>
          <t>ASHLEY FRENCH</t>
        </is>
      </c>
      <c r="F539" s="80" t="inlineStr">
        <is>
          <t>PHILLIP TRAVIS</t>
        </is>
      </c>
      <c r="G539" s="80" t="inlineStr">
        <is>
          <t>PHILLIP TRAVIS</t>
        </is>
      </c>
      <c r="H539" s="80" t="inlineStr">
        <is>
          <t>156-1</t>
        </is>
      </c>
      <c r="I539" s="111">
        <f>COUNTIF(Tower_3!G:G,'All Associates'!A539)+COUNTIF(Tower_4!G:G,'All Associates'!A539)+COUNTIF(Tower_5!G:G,'All Associates'!A539)+COUNTIF(Tower_6!G:G,'All Associates'!A539)+COUNTIF(Riviera_3!G:G,'All Associates'!A539)+COUNTIF(Riviera_4!G:G,'All Associates'!A539)+COUNTIF(Riviera_5!G:G,'All Associates'!A539)</f>
        <v/>
      </c>
      <c r="J539" s="112">
        <f>IF(I539=0,"Not Allocated",IF(I539=1,"Allocated","Duplicate"))</f>
        <v/>
      </c>
    </row>
    <row r="540" hidden="1">
      <c r="A540" s="83" t="n">
        <v>229</v>
      </c>
      <c r="B540" s="80" t="inlineStr">
        <is>
          <t>CHRISTOPHER MARTINEZ</t>
        </is>
      </c>
      <c r="C540" s="80" t="inlineStr">
        <is>
          <t>Activ</t>
        </is>
      </c>
      <c r="D540" s="80" t="inlineStr">
        <is>
          <t>NATHAN HAMILTON</t>
        </is>
      </c>
      <c r="E540" s="80" t="inlineStr">
        <is>
          <t>KIMBERLY CLARK</t>
        </is>
      </c>
      <c r="F540" s="80" t="inlineStr">
        <is>
          <t>KIMBERLY CLARK</t>
        </is>
      </c>
      <c r="G540" s="80" t="inlineStr">
        <is>
          <t>NATHAN HAMILTON</t>
        </is>
      </c>
      <c r="H540" s="80" t="inlineStr">
        <is>
          <t>221-1</t>
        </is>
      </c>
      <c r="I540" s="111">
        <f>COUNTIF(Tower_3!G:G,'All Associates'!A540)+COUNTIF(Tower_4!G:G,'All Associates'!A540)+COUNTIF(Tower_5!G:G,'All Associates'!A540)+COUNTIF(Tower_6!G:G,'All Associates'!A540)+COUNTIF(Riviera_3!G:G,'All Associates'!A540)+COUNTIF(Riviera_4!G:G,'All Associates'!A540)+COUNTIF(Riviera_5!G:G,'All Associates'!A540)</f>
        <v/>
      </c>
      <c r="J540" s="112">
        <f>IF(I540=0,"Not Allocated",IF(I540=1,"Allocated","Duplicate"))</f>
        <v/>
      </c>
    </row>
    <row r="541" hidden="1">
      <c r="A541" s="83" t="n">
        <v>1067</v>
      </c>
      <c r="B541" s="80" t="inlineStr">
        <is>
          <t>SCOTT DANIELS</t>
        </is>
      </c>
      <c r="C541" s="80" t="inlineStr">
        <is>
          <t>Activ</t>
        </is>
      </c>
      <c r="D541" s="80" t="inlineStr">
        <is>
          <t>DIANE PETERSEN</t>
        </is>
      </c>
      <c r="E541" s="80" t="inlineStr">
        <is>
          <t>DR. DIANA CARROLL</t>
        </is>
      </c>
      <c r="F541" s="80" t="inlineStr">
        <is>
          <t>HEATHER SOLIS</t>
        </is>
      </c>
      <c r="G541" s="80" t="inlineStr">
        <is>
          <t>HEATHER SOLIS</t>
        </is>
      </c>
      <c r="H541" s="80" t="inlineStr">
        <is>
          <t>138-1</t>
        </is>
      </c>
      <c r="I541" s="111">
        <f>COUNTIF(Tower_3!G:G,'All Associates'!A541)+COUNTIF(Tower_4!G:G,'All Associates'!A541)+COUNTIF(Tower_5!G:G,'All Associates'!A541)+COUNTIF(Tower_6!G:G,'All Associates'!A541)+COUNTIF(Riviera_3!G:G,'All Associates'!A541)+COUNTIF(Riviera_4!G:G,'All Associates'!A541)+COUNTIF(Riviera_5!G:G,'All Associates'!A541)</f>
        <v/>
      </c>
      <c r="J541" s="112">
        <f>IF(I541=0,"Not Allocated",IF(I541=1,"Allocated","Duplicate"))</f>
        <v/>
      </c>
    </row>
    <row r="542" hidden="1">
      <c r="A542" s="83" t="n">
        <v>869</v>
      </c>
      <c r="B542" s="80" t="inlineStr">
        <is>
          <t>KYLE HARPER</t>
        </is>
      </c>
      <c r="C542" s="80" t="inlineStr">
        <is>
          <t>Activ</t>
        </is>
      </c>
      <c r="D542" s="80" t="inlineStr">
        <is>
          <t>CHAD PEREZ</t>
        </is>
      </c>
      <c r="E542" s="80" t="inlineStr">
        <is>
          <t>MARISSA CROSS</t>
        </is>
      </c>
      <c r="F542" s="80" t="inlineStr">
        <is>
          <t>KIMBERLY CLARK</t>
        </is>
      </c>
      <c r="G542" s="80" t="inlineStr">
        <is>
          <t>MARISSA CROSS</t>
        </is>
      </c>
      <c r="H542" s="80" t="inlineStr">
        <is>
          <t>220-2</t>
        </is>
      </c>
      <c r="I542" s="111">
        <f>COUNTIF(Tower_3!G:G,'All Associates'!A542)+COUNTIF(Tower_4!G:G,'All Associates'!A542)+COUNTIF(Tower_5!G:G,'All Associates'!A542)+COUNTIF(Tower_6!G:G,'All Associates'!A542)+COUNTIF(Riviera_3!G:G,'All Associates'!A542)+COUNTIF(Riviera_4!G:G,'All Associates'!A542)+COUNTIF(Riviera_5!G:G,'All Associates'!A542)</f>
        <v/>
      </c>
      <c r="J542" s="112">
        <f>IF(I542=0,"Not Allocated",IF(I542=1,"Allocated","Duplicate"))</f>
        <v/>
      </c>
    </row>
    <row r="543" hidden="1">
      <c r="A543" s="83" t="n">
        <v>1154</v>
      </c>
      <c r="B543" s="80" t="inlineStr">
        <is>
          <t>AMBER FLORES</t>
        </is>
      </c>
      <c r="C543" s="80" t="inlineStr">
        <is>
          <t>Activ</t>
        </is>
      </c>
      <c r="D543" s="80" t="inlineStr">
        <is>
          <t>KATHERINE DELGADO</t>
        </is>
      </c>
      <c r="E543" s="80" t="inlineStr">
        <is>
          <t>LOUIS PETERSEN</t>
        </is>
      </c>
      <c r="F543" s="80" t="inlineStr">
        <is>
          <t>KENNETH CONRAD</t>
        </is>
      </c>
      <c r="G543" s="80" t="inlineStr">
        <is>
          <t>KENNETH CONRAD</t>
        </is>
      </c>
      <c r="H543" s="80" t="inlineStr">
        <is>
          <t>127-1</t>
        </is>
      </c>
      <c r="I543" s="111">
        <f>COUNTIF(Tower_3!G:G,'All Associates'!A543)+COUNTIF(Tower_4!G:G,'All Associates'!A543)+COUNTIF(Tower_5!G:G,'All Associates'!A543)+COUNTIF(Tower_6!G:G,'All Associates'!A543)+COUNTIF(Riviera_3!G:G,'All Associates'!A543)+COUNTIF(Riviera_4!G:G,'All Associates'!A543)+COUNTIF(Riviera_5!G:G,'All Associates'!A543)</f>
        <v/>
      </c>
      <c r="J543" s="112">
        <f>IF(I543=0,"Not Allocated",IF(I543=1,"Allocated","Duplicate"))</f>
        <v/>
      </c>
    </row>
    <row r="544" hidden="1">
      <c r="A544" s="83" t="n">
        <v>50</v>
      </c>
      <c r="B544" s="80" t="inlineStr">
        <is>
          <t>MARC KRUEGER</t>
        </is>
      </c>
      <c r="C544" s="80" t="inlineStr">
        <is>
          <t>Activ</t>
        </is>
      </c>
      <c r="D544" s="80" t="inlineStr">
        <is>
          <t>CHELSEA CAMPBELL</t>
        </is>
      </c>
      <c r="E544" s="80" t="inlineStr">
        <is>
          <t>KENNETH CONRAD</t>
        </is>
      </c>
      <c r="F544" s="80" t="inlineStr">
        <is>
          <t>KIMBERLY CLARK</t>
        </is>
      </c>
      <c r="G544" s="80" t="inlineStr">
        <is>
          <t>KENNETH CONRAD</t>
        </is>
      </c>
      <c r="H544" s="80" t="inlineStr">
        <is>
          <t>153-1</t>
        </is>
      </c>
      <c r="I544" s="111">
        <f>COUNTIF(Tower_3!G:G,'All Associates'!A544)+COUNTIF(Tower_4!G:G,'All Associates'!A544)+COUNTIF(Tower_5!G:G,'All Associates'!A544)+COUNTIF(Tower_6!G:G,'All Associates'!A544)+COUNTIF(Riviera_3!G:G,'All Associates'!A544)+COUNTIF(Riviera_4!G:G,'All Associates'!A544)+COUNTIF(Riviera_5!G:G,'All Associates'!A544)</f>
        <v/>
      </c>
      <c r="J544" s="112">
        <f>IF(I544=0,"Not Allocated",IF(I544=1,"Allocated","Duplicate"))</f>
        <v/>
      </c>
    </row>
    <row r="545" hidden="1">
      <c r="A545" s="83" t="n">
        <v>559</v>
      </c>
      <c r="B545" s="80" t="inlineStr">
        <is>
          <t>MATTHEW GARCIA</t>
        </is>
      </c>
      <c r="C545" s="80" t="inlineStr">
        <is>
          <t>Activ</t>
        </is>
      </c>
      <c r="D545" s="80" t="inlineStr">
        <is>
          <t>ALEXANDER BAUTISTA</t>
        </is>
      </c>
      <c r="E545" s="80" t="inlineStr">
        <is>
          <t>HEATHER SOLIS</t>
        </is>
      </c>
      <c r="F545" s="80" t="inlineStr">
        <is>
          <t>KIMBERLY CLARK</t>
        </is>
      </c>
      <c r="G545" s="80" t="inlineStr">
        <is>
          <t>HEATHER SOLIS</t>
        </is>
      </c>
      <c r="H545" s="80" t="inlineStr">
        <is>
          <t>138-1</t>
        </is>
      </c>
      <c r="I545" s="111">
        <f>COUNTIF(Tower_3!G:G,'All Associates'!A545)+COUNTIF(Tower_4!G:G,'All Associates'!A545)+COUNTIF(Tower_5!G:G,'All Associates'!A545)+COUNTIF(Tower_6!G:G,'All Associates'!A545)+COUNTIF(Riviera_3!G:G,'All Associates'!A545)+COUNTIF(Riviera_4!G:G,'All Associates'!A545)+COUNTIF(Riviera_5!G:G,'All Associates'!A545)</f>
        <v/>
      </c>
      <c r="J545" s="112">
        <f>IF(I545=0,"Not Allocated",IF(I545=1,"Allocated","Duplicate"))</f>
        <v/>
      </c>
    </row>
    <row r="546" hidden="1">
      <c r="A546" s="88" t="n">
        <v>186</v>
      </c>
      <c r="B546" s="89" t="inlineStr">
        <is>
          <t>CAMERON CARNEY</t>
        </is>
      </c>
      <c r="C546" s="89" t="inlineStr">
        <is>
          <t>Activ</t>
        </is>
      </c>
      <c r="D546" s="89" t="inlineStr">
        <is>
          <t>SUMMER BARRETT</t>
        </is>
      </c>
      <c r="E546" s="89" t="inlineStr">
        <is>
          <t>ALEXANDER MILLER</t>
        </is>
      </c>
      <c r="F546" s="89" t="inlineStr">
        <is>
          <t>KIMBERLY CLARK</t>
        </is>
      </c>
      <c r="G546" s="89" t="inlineStr">
        <is>
          <t>ALEXANDER MILLER</t>
        </is>
      </c>
      <c r="H546" s="89" t="inlineStr">
        <is>
          <t>135-1</t>
        </is>
      </c>
      <c r="I546" s="111">
        <f>COUNTIF(Tower_3!G:G,'All Associates'!A546)+COUNTIF(Tower_4!G:G,'All Associates'!A546)+COUNTIF(Tower_5!G:G,'All Associates'!A546)+COUNTIF(Tower_6!G:G,'All Associates'!A546)+COUNTIF(Riviera_3!G:G,'All Associates'!A546)+COUNTIF(Riviera_4!G:G,'All Associates'!A546)+COUNTIF(Riviera_5!G:G,'All Associates'!A546)</f>
        <v/>
      </c>
      <c r="J546" s="112">
        <f>IF(I546=0,"Not Allocated",IF(I546=1,"Allocated","Duplicate"))</f>
        <v/>
      </c>
    </row>
    <row r="547">
      <c r="A547" s="90" t="n">
        <v>489</v>
      </c>
      <c r="B547" s="91" t="inlineStr">
        <is>
          <t>SCOTT DONOVAN</t>
        </is>
      </c>
      <c r="C547" s="91" t="inlineStr">
        <is>
          <t>Suspendat</t>
        </is>
      </c>
      <c r="D547" s="91" t="inlineStr">
        <is>
          <t>MS. KAITLIN WILKINSON</t>
        </is>
      </c>
      <c r="E547" s="91" t="inlineStr">
        <is>
          <t>ALEXANDER BAUTISTA</t>
        </is>
      </c>
      <c r="F547" s="91" t="inlineStr">
        <is>
          <t>HEATHER SOLIS</t>
        </is>
      </c>
      <c r="G547" s="91" t="inlineStr">
        <is>
          <t>HEATHER SOLIS</t>
        </is>
      </c>
      <c r="H547" s="91" t="inlineStr">
        <is>
          <t>138-1</t>
        </is>
      </c>
      <c r="I547" s="111">
        <f>COUNTIF(Tower_3!G:G,'All Associates'!A547)+COUNTIF(Tower_4!G:G,'All Associates'!A547)+COUNTIF(Tower_5!G:G,'All Associates'!A547)+COUNTIF(Tower_6!G:G,'All Associates'!A547)+COUNTIF(Riviera_3!G:G,'All Associates'!A547)+COUNTIF(Riviera_4!G:G,'All Associates'!A547)+COUNTIF(Riviera_5!G:G,'All Associates'!A547)</f>
        <v/>
      </c>
      <c r="J547" s="112">
        <f>IF(I547=0,"Not Allocated",IF(I547=1,"Allocated","Duplicate"))</f>
        <v/>
      </c>
    </row>
    <row r="548" hidden="1">
      <c r="A548" s="83" t="n">
        <v>960</v>
      </c>
      <c r="B548" s="80" t="inlineStr">
        <is>
          <t>JENNIFER JACOBS</t>
        </is>
      </c>
      <c r="C548" s="80" t="inlineStr">
        <is>
          <t>Activ</t>
        </is>
      </c>
      <c r="D548" s="80" t="inlineStr">
        <is>
          <t>JEFFERY MOYER</t>
        </is>
      </c>
      <c r="E548" s="80" t="inlineStr">
        <is>
          <t>KENNETH CONRAD</t>
        </is>
      </c>
      <c r="F548" s="80" t="inlineStr">
        <is>
          <t>KIMBERLY CLARK</t>
        </is>
      </c>
      <c r="G548" s="80" t="inlineStr">
        <is>
          <t>KENNETH CONRAD</t>
        </is>
      </c>
      <c r="H548" s="80" t="inlineStr">
        <is>
          <t>133-1</t>
        </is>
      </c>
      <c r="I548" s="111">
        <f>COUNTIF(Tower_3!G:G,'All Associates'!A548)+COUNTIF(Tower_4!G:G,'All Associates'!A548)+COUNTIF(Tower_5!G:G,'All Associates'!A548)+COUNTIF(Tower_6!G:G,'All Associates'!A548)+COUNTIF(Riviera_3!G:G,'All Associates'!A548)+COUNTIF(Riviera_4!G:G,'All Associates'!A548)+COUNTIF(Riviera_5!G:G,'All Associates'!A548)</f>
        <v/>
      </c>
      <c r="J548" s="112">
        <f>IF(I548=0,"Not Allocated",IF(I548=1,"Allocated","Duplicate"))</f>
        <v/>
      </c>
    </row>
    <row r="549" hidden="1">
      <c r="A549" s="83" t="n">
        <v>846</v>
      </c>
      <c r="B549" s="80" t="inlineStr">
        <is>
          <t>JACOB JONES</t>
        </is>
      </c>
      <c r="C549" s="80" t="inlineStr">
        <is>
          <t>Activ</t>
        </is>
      </c>
      <c r="D549" s="80" t="inlineStr">
        <is>
          <t>CYNTHIA STUART</t>
        </is>
      </c>
      <c r="E549" s="80" t="inlineStr">
        <is>
          <t>ALEXANDER BAUTISTA</t>
        </is>
      </c>
      <c r="F549" s="80" t="inlineStr">
        <is>
          <t>HEATHER SOLIS</t>
        </is>
      </c>
      <c r="G549" s="80" t="inlineStr">
        <is>
          <t>HEATHER SOLIS</t>
        </is>
      </c>
      <c r="H549" s="80" t="inlineStr">
        <is>
          <t>138-1</t>
        </is>
      </c>
      <c r="I549" s="111">
        <f>COUNTIF(Tower_3!G:G,'All Associates'!A549)+COUNTIF(Tower_4!G:G,'All Associates'!A549)+COUNTIF(Tower_5!G:G,'All Associates'!A549)+COUNTIF(Tower_6!G:G,'All Associates'!A549)+COUNTIF(Riviera_3!G:G,'All Associates'!A549)+COUNTIF(Riviera_4!G:G,'All Associates'!A549)+COUNTIF(Riviera_5!G:G,'All Associates'!A549)</f>
        <v/>
      </c>
      <c r="J549" s="112">
        <f>IF(I549=0,"Not Allocated",IF(I549=1,"Allocated","Duplicate"))</f>
        <v/>
      </c>
    </row>
    <row r="550" hidden="1">
      <c r="A550" s="83" t="n">
        <v>870</v>
      </c>
      <c r="B550" s="80" t="inlineStr">
        <is>
          <t>JOHN WHITE</t>
        </is>
      </c>
      <c r="C550" s="80" t="inlineStr">
        <is>
          <t>Activ</t>
        </is>
      </c>
      <c r="D550" s="80" t="inlineStr">
        <is>
          <t>TIFFANY WARD</t>
        </is>
      </c>
      <c r="E550" s="80" t="inlineStr">
        <is>
          <t>CHELSEA CAMPBELL</t>
        </is>
      </c>
      <c r="F550" s="80" t="inlineStr">
        <is>
          <t>KENNETH CONRAD</t>
        </is>
      </c>
      <c r="G550" s="80" t="inlineStr">
        <is>
          <t>KENNETH CONRAD</t>
        </is>
      </c>
      <c r="H550" s="80" t="inlineStr">
        <is>
          <t>153-1</t>
        </is>
      </c>
      <c r="I550" s="111">
        <f>COUNTIF(Tower_3!G:G,'All Associates'!A550)+COUNTIF(Tower_4!G:G,'All Associates'!A550)+COUNTIF(Tower_5!G:G,'All Associates'!A550)+COUNTIF(Tower_6!G:G,'All Associates'!A550)+COUNTIF(Riviera_3!G:G,'All Associates'!A550)+COUNTIF(Riviera_4!G:G,'All Associates'!A550)+COUNTIF(Riviera_5!G:G,'All Associates'!A550)</f>
        <v/>
      </c>
      <c r="J550" s="112">
        <f>IF(I550=0,"Not Allocated",IF(I550=1,"Allocated","Duplicate"))</f>
        <v/>
      </c>
    </row>
    <row r="551" hidden="1">
      <c r="A551" s="83" t="n">
        <v>356</v>
      </c>
      <c r="B551" s="80" t="inlineStr">
        <is>
          <t>JASON RAMIREZ</t>
        </is>
      </c>
      <c r="C551" s="80" t="inlineStr">
        <is>
          <t>Activ</t>
        </is>
      </c>
      <c r="D551" s="80" t="inlineStr">
        <is>
          <t>CHAD PEREZ</t>
        </is>
      </c>
      <c r="E551" s="80" t="inlineStr">
        <is>
          <t>MARISSA CROSS</t>
        </is>
      </c>
      <c r="F551" s="80" t="inlineStr">
        <is>
          <t>KIMBERLY CLARK</t>
        </is>
      </c>
      <c r="G551" s="80" t="inlineStr">
        <is>
          <t>MARISSA CROSS</t>
        </is>
      </c>
      <c r="H551" s="80" t="inlineStr">
        <is>
          <t>220-2</t>
        </is>
      </c>
      <c r="I551" s="111">
        <f>COUNTIF(Tower_3!G:G,'All Associates'!A551)+COUNTIF(Tower_4!G:G,'All Associates'!A551)+COUNTIF(Tower_5!G:G,'All Associates'!A551)+COUNTIF(Tower_6!G:G,'All Associates'!A551)+COUNTIF(Riviera_3!G:G,'All Associates'!A551)+COUNTIF(Riviera_4!G:G,'All Associates'!A551)+COUNTIF(Riviera_5!G:G,'All Associates'!A551)</f>
        <v/>
      </c>
      <c r="J551" s="112">
        <f>IF(I551=0,"Not Allocated",IF(I551=1,"Allocated","Duplicate"))</f>
        <v/>
      </c>
    </row>
    <row r="552" hidden="1">
      <c r="A552" s="83" t="n">
        <v>150</v>
      </c>
      <c r="B552" s="80" t="inlineStr">
        <is>
          <t>VICTORIA COOK</t>
        </is>
      </c>
      <c r="C552" s="80" t="inlineStr">
        <is>
          <t>Activ</t>
        </is>
      </c>
      <c r="D552" s="80" t="inlineStr">
        <is>
          <t>ALLISON JACKSON</t>
        </is>
      </c>
      <c r="E552" s="80" t="inlineStr">
        <is>
          <t>ALEXANDER MILLER</t>
        </is>
      </c>
      <c r="F552" s="80" t="inlineStr">
        <is>
          <t>KIMBERLY CLARK</t>
        </is>
      </c>
      <c r="G552" s="80" t="inlineStr">
        <is>
          <t>ALEXANDER MILLER</t>
        </is>
      </c>
      <c r="H552" s="80" t="inlineStr">
        <is>
          <t>135-1</t>
        </is>
      </c>
      <c r="I552" s="111">
        <f>COUNTIF(Tower_3!G:G,'All Associates'!A552)+COUNTIF(Tower_4!G:G,'All Associates'!A552)+COUNTIF(Tower_5!G:G,'All Associates'!A552)+COUNTIF(Tower_6!G:G,'All Associates'!A552)+COUNTIF(Riviera_3!G:G,'All Associates'!A552)+COUNTIF(Riviera_4!G:G,'All Associates'!A552)+COUNTIF(Riviera_5!G:G,'All Associates'!A552)</f>
        <v/>
      </c>
      <c r="J552" s="112">
        <f>IF(I552=0,"Not Allocated",IF(I552=1,"Allocated","Duplicate"))</f>
        <v/>
      </c>
    </row>
    <row r="553" hidden="1">
      <c r="A553" s="83" t="n">
        <v>781</v>
      </c>
      <c r="B553" s="80" t="inlineStr">
        <is>
          <t>COREY SUTTON</t>
        </is>
      </c>
      <c r="C553" s="80" t="inlineStr">
        <is>
          <t>Activ</t>
        </is>
      </c>
      <c r="D553" s="80" t="inlineStr">
        <is>
          <t>EDDIE DAY</t>
        </is>
      </c>
      <c r="E553" s="80" t="inlineStr">
        <is>
          <t>STEPHANIE WEAVER</t>
        </is>
      </c>
      <c r="F553" s="80" t="inlineStr">
        <is>
          <t>MARISSA CROSS</t>
        </is>
      </c>
      <c r="G553" s="80" t="inlineStr">
        <is>
          <t>MARISSA CROSS</t>
        </is>
      </c>
      <c r="H553" s="80" t="inlineStr">
        <is>
          <t>220-2</t>
        </is>
      </c>
      <c r="I553" s="111">
        <f>COUNTIF(Tower_3!G:G,'All Associates'!A553)+COUNTIF(Tower_4!G:G,'All Associates'!A553)+COUNTIF(Tower_5!G:G,'All Associates'!A553)+COUNTIF(Tower_6!G:G,'All Associates'!A553)+COUNTIF(Riviera_3!G:G,'All Associates'!A553)+COUNTIF(Riviera_4!G:G,'All Associates'!A553)+COUNTIF(Riviera_5!G:G,'All Associates'!A553)</f>
        <v/>
      </c>
      <c r="J553" s="112">
        <f>IF(I553=0,"Not Allocated",IF(I553=1,"Allocated","Duplicate"))</f>
        <v/>
      </c>
    </row>
    <row r="554" hidden="1">
      <c r="A554" s="83" t="n">
        <v>690</v>
      </c>
      <c r="B554" s="80" t="inlineStr">
        <is>
          <t>CLAIRE STEELE</t>
        </is>
      </c>
      <c r="C554" s="80" t="inlineStr">
        <is>
          <t>Activ</t>
        </is>
      </c>
      <c r="D554" s="80" t="inlineStr">
        <is>
          <t>SUMMER BARRETT</t>
        </is>
      </c>
      <c r="E554" s="80" t="inlineStr">
        <is>
          <t>ALEXANDER MILLER</t>
        </is>
      </c>
      <c r="F554" s="80" t="inlineStr">
        <is>
          <t>KIMBERLY CLARK</t>
        </is>
      </c>
      <c r="G554" s="80" t="inlineStr">
        <is>
          <t>ALEXANDER MILLER</t>
        </is>
      </c>
      <c r="H554" s="80" t="inlineStr">
        <is>
          <t>135-1</t>
        </is>
      </c>
      <c r="I554" s="111">
        <f>COUNTIF(Tower_3!G:G,'All Associates'!A554)+COUNTIF(Tower_4!G:G,'All Associates'!A554)+COUNTIF(Tower_5!G:G,'All Associates'!A554)+COUNTIF(Tower_6!G:G,'All Associates'!A554)+COUNTIF(Riviera_3!G:G,'All Associates'!A554)+COUNTIF(Riviera_4!G:G,'All Associates'!A554)+COUNTIF(Riviera_5!G:G,'All Associates'!A554)</f>
        <v/>
      </c>
      <c r="J554" s="112">
        <f>IF(I554=0,"Not Allocated",IF(I554=1,"Allocated","Duplicate"))</f>
        <v/>
      </c>
    </row>
    <row r="555" hidden="1">
      <c r="A555" s="83" t="n">
        <v>434</v>
      </c>
      <c r="B555" s="80" t="inlineStr">
        <is>
          <t>TONY SHORT</t>
        </is>
      </c>
      <c r="C555" s="80" t="inlineStr">
        <is>
          <t>Activ</t>
        </is>
      </c>
      <c r="D555" s="80" t="inlineStr">
        <is>
          <t>AMY ACOSTA</t>
        </is>
      </c>
      <c r="E555" s="80" t="inlineStr">
        <is>
          <t>MARISSA CROSS</t>
        </is>
      </c>
      <c r="F555" s="80" t="inlineStr">
        <is>
          <t>KIMBERLY CLARK</t>
        </is>
      </c>
      <c r="G555" s="80" t="inlineStr">
        <is>
          <t>MARISSA CROSS</t>
        </is>
      </c>
      <c r="H555" s="80" t="inlineStr">
        <is>
          <t>220-2</t>
        </is>
      </c>
      <c r="I555" s="111">
        <f>COUNTIF(Tower_3!G:G,'All Associates'!A555)+COUNTIF(Tower_4!G:G,'All Associates'!A555)+COUNTIF(Tower_5!G:G,'All Associates'!A555)+COUNTIF(Tower_6!G:G,'All Associates'!A555)+COUNTIF(Riviera_3!G:G,'All Associates'!A555)+COUNTIF(Riviera_4!G:G,'All Associates'!A555)+COUNTIF(Riviera_5!G:G,'All Associates'!A555)</f>
        <v/>
      </c>
      <c r="J555" s="112">
        <f>IF(I555=0,"Not Allocated",IF(I555=1,"Allocated","Duplicate"))</f>
        <v/>
      </c>
    </row>
    <row r="556" hidden="1">
      <c r="A556" s="83" t="n">
        <v>961</v>
      </c>
      <c r="B556" s="80" t="inlineStr">
        <is>
          <t>CYNTHIA CANNON</t>
        </is>
      </c>
      <c r="C556" s="80" t="inlineStr">
        <is>
          <t>Activ</t>
        </is>
      </c>
      <c r="D556" s="80" t="inlineStr">
        <is>
          <t>MS. KAITLIN WILKINSON</t>
        </is>
      </c>
      <c r="E556" s="80" t="inlineStr">
        <is>
          <t>ALEXANDER BAUTISTA</t>
        </is>
      </c>
      <c r="F556" s="80" t="inlineStr">
        <is>
          <t>HEATHER SOLIS</t>
        </is>
      </c>
      <c r="G556" s="80" t="inlineStr">
        <is>
          <t>HEATHER SOLIS</t>
        </is>
      </c>
      <c r="H556" s="80" t="inlineStr">
        <is>
          <t>138-1</t>
        </is>
      </c>
      <c r="I556" s="111">
        <f>COUNTIF(Tower_3!G:G,'All Associates'!A556)+COUNTIF(Tower_4!G:G,'All Associates'!A556)+COUNTIF(Tower_5!G:G,'All Associates'!A556)+COUNTIF(Tower_6!G:G,'All Associates'!A556)+COUNTIF(Riviera_3!G:G,'All Associates'!A556)+COUNTIF(Riviera_4!G:G,'All Associates'!A556)+COUNTIF(Riviera_5!G:G,'All Associates'!A556)</f>
        <v/>
      </c>
      <c r="J556" s="112">
        <f>IF(I556=0,"Not Allocated",IF(I556=1,"Allocated","Duplicate"))</f>
        <v/>
      </c>
    </row>
    <row r="557" hidden="1">
      <c r="A557" s="88" t="n">
        <v>1237</v>
      </c>
      <c r="B557" s="89" t="inlineStr">
        <is>
          <t>AMANDA KING</t>
        </is>
      </c>
      <c r="C557" s="89" t="inlineStr">
        <is>
          <t>Activ</t>
        </is>
      </c>
      <c r="D557" s="89" t="inlineStr">
        <is>
          <t>KIMBERLY SULLIVAN</t>
        </is>
      </c>
      <c r="E557" s="89" t="inlineStr">
        <is>
          <t>MR. MICHAEL KELLY</t>
        </is>
      </c>
      <c r="F557" s="89" t="inlineStr">
        <is>
          <t>HEATHER SOLIS</t>
        </is>
      </c>
      <c r="G557" s="89" t="inlineStr">
        <is>
          <t>HEATHER SOLIS</t>
        </is>
      </c>
      <c r="H557" s="89" t="inlineStr">
        <is>
          <t>138-2</t>
        </is>
      </c>
      <c r="I557" s="111">
        <f>COUNTIF(Tower_3!G:G,'All Associates'!A557)+COUNTIF(Tower_4!G:G,'All Associates'!A557)+COUNTIF(Tower_5!G:G,'All Associates'!A557)+COUNTIF(Tower_6!G:G,'All Associates'!A557)+COUNTIF(Riviera_3!G:G,'All Associates'!A557)+COUNTIF(Riviera_4!G:G,'All Associates'!A557)+COUNTIF(Riviera_5!G:G,'All Associates'!A557)</f>
        <v/>
      </c>
      <c r="J557" s="112">
        <f>IF(I557=0,"Not Allocated",IF(I557=1,"Allocated","Duplicate"))</f>
        <v/>
      </c>
    </row>
    <row r="558" hidden="1">
      <c r="A558" s="88" t="n">
        <v>1168</v>
      </c>
      <c r="B558" s="89" t="inlineStr">
        <is>
          <t>HEATHER MARTINEZ</t>
        </is>
      </c>
      <c r="C558" s="89" t="inlineStr">
        <is>
          <t>Activ</t>
        </is>
      </c>
      <c r="D558" s="89" t="inlineStr">
        <is>
          <t>JORDAN MARQUEZ</t>
        </is>
      </c>
      <c r="E558" s="89" t="inlineStr">
        <is>
          <t>JEFFREY JONES</t>
        </is>
      </c>
      <c r="F558" s="89" t="inlineStr">
        <is>
          <t>NATHAN HAMILTON</t>
        </is>
      </c>
      <c r="G558" s="89" t="inlineStr">
        <is>
          <t>NATHAN HAMILTON</t>
        </is>
      </c>
      <c r="H558" s="89" t="inlineStr">
        <is>
          <t>221-1</t>
        </is>
      </c>
      <c r="I558" s="111">
        <f>COUNTIF(Tower_3!G:G,'All Associates'!A558)+COUNTIF(Tower_4!G:G,'All Associates'!A558)+COUNTIF(Tower_5!G:G,'All Associates'!A558)+COUNTIF(Tower_6!G:G,'All Associates'!A558)+COUNTIF(Riviera_3!G:G,'All Associates'!A558)+COUNTIF(Riviera_4!G:G,'All Associates'!A558)+COUNTIF(Riviera_5!G:G,'All Associates'!A558)</f>
        <v/>
      </c>
      <c r="J558" s="112">
        <f>IF(I558=0,"Not Allocated",IF(I558=1,"Allocated","Duplicate"))</f>
        <v/>
      </c>
    </row>
    <row r="559" hidden="1">
      <c r="A559" s="83" t="n">
        <v>984</v>
      </c>
      <c r="B559" s="80" t="inlineStr">
        <is>
          <t>RICHARD ARIAS</t>
        </is>
      </c>
      <c r="C559" s="80" t="inlineStr">
        <is>
          <t>Activ</t>
        </is>
      </c>
      <c r="D559" s="80" t="inlineStr">
        <is>
          <t>BETH TUCKER</t>
        </is>
      </c>
      <c r="E559" s="80" t="inlineStr">
        <is>
          <t>KIMBERLY CLARK</t>
        </is>
      </c>
      <c r="F559" s="80" t="inlineStr">
        <is>
          <t>KIMBERLY CLARK</t>
        </is>
      </c>
      <c r="G559" s="80" t="inlineStr">
        <is>
          <t>KIMBERLY CLARK</t>
        </is>
      </c>
      <c r="H559" s="80" t="inlineStr">
        <is>
          <t>156-2</t>
        </is>
      </c>
      <c r="I559" s="111">
        <f>COUNTIF(Tower_3!G:G,'All Associates'!A559)+COUNTIF(Tower_4!G:G,'All Associates'!A559)+COUNTIF(Tower_5!G:G,'All Associates'!A559)+COUNTIF(Tower_6!G:G,'All Associates'!A559)+COUNTIF(Riviera_3!G:G,'All Associates'!A559)+COUNTIF(Riviera_4!G:G,'All Associates'!A559)+COUNTIF(Riviera_5!G:G,'All Associates'!A559)</f>
        <v/>
      </c>
      <c r="J559" s="112">
        <f>IF(I559=0,"Not Allocated",IF(I559=1,"Allocated","Duplicate"))</f>
        <v/>
      </c>
    </row>
    <row r="560" hidden="1">
      <c r="A560" s="88" t="n">
        <v>579</v>
      </c>
      <c r="B560" s="89" t="inlineStr">
        <is>
          <t>MARIA BAUER</t>
        </is>
      </c>
      <c r="C560" s="89" t="inlineStr">
        <is>
          <t>Activ</t>
        </is>
      </c>
      <c r="D560" s="89" t="inlineStr">
        <is>
          <t>ALEXANDER BAUTISTA</t>
        </is>
      </c>
      <c r="E560" s="89" t="inlineStr">
        <is>
          <t>HEATHER SOLIS</t>
        </is>
      </c>
      <c r="F560" s="89" t="inlineStr">
        <is>
          <t>KIMBERLY CLARK</t>
        </is>
      </c>
      <c r="G560" s="89" t="inlineStr">
        <is>
          <t>HEATHER SOLIS</t>
        </is>
      </c>
      <c r="H560" s="89" t="inlineStr">
        <is>
          <t>138-1</t>
        </is>
      </c>
      <c r="I560" s="111">
        <f>COUNTIF(Tower_3!G:G,'All Associates'!A560)+COUNTIF(Tower_4!G:G,'All Associates'!A560)+COUNTIF(Tower_5!G:G,'All Associates'!A560)+COUNTIF(Tower_6!G:G,'All Associates'!A560)+COUNTIF(Riviera_3!G:G,'All Associates'!A560)+COUNTIF(Riviera_4!G:G,'All Associates'!A560)+COUNTIF(Riviera_5!G:G,'All Associates'!A560)</f>
        <v/>
      </c>
      <c r="J560" s="112">
        <f>IF(I560=0,"Not Allocated",IF(I560=1,"Allocated","Duplicate"))</f>
        <v/>
      </c>
    </row>
    <row r="561" hidden="1">
      <c r="A561" s="83" t="n">
        <v>786</v>
      </c>
      <c r="B561" s="80" t="inlineStr">
        <is>
          <t>JULIA BOYD</t>
        </is>
      </c>
      <c r="C561" s="80" t="inlineStr">
        <is>
          <t>Activ</t>
        </is>
      </c>
      <c r="D561" s="80" t="inlineStr">
        <is>
          <t>KATHRYN ABBOTT</t>
        </is>
      </c>
      <c r="E561" s="80" t="inlineStr">
        <is>
          <t>ALEXANDER MILLER</t>
        </is>
      </c>
      <c r="F561" s="80" t="inlineStr">
        <is>
          <t>KIMBERLY CLARK</t>
        </is>
      </c>
      <c r="G561" s="80" t="inlineStr">
        <is>
          <t>ALEXANDER MILLER</t>
        </is>
      </c>
      <c r="H561" s="80" t="inlineStr">
        <is>
          <t>135-1</t>
        </is>
      </c>
      <c r="I561" s="111">
        <f>COUNTIF(Tower_3!G:G,'All Associates'!A561)+COUNTIF(Tower_4!G:G,'All Associates'!A561)+COUNTIF(Tower_5!G:G,'All Associates'!A561)+COUNTIF(Tower_6!G:G,'All Associates'!A561)+COUNTIF(Riviera_3!G:G,'All Associates'!A561)+COUNTIF(Riviera_4!G:G,'All Associates'!A561)+COUNTIF(Riviera_5!G:G,'All Associates'!A561)</f>
        <v/>
      </c>
      <c r="J561" s="112">
        <f>IF(I561=0,"Not Allocated",IF(I561=1,"Allocated","Duplicate"))</f>
        <v/>
      </c>
    </row>
    <row r="562" hidden="1">
      <c r="A562" s="83" t="n">
        <v>1208</v>
      </c>
      <c r="B562" s="80" t="inlineStr">
        <is>
          <t>BARBARA BURKE</t>
        </is>
      </c>
      <c r="C562" s="80" t="inlineStr">
        <is>
          <t>Activ</t>
        </is>
      </c>
      <c r="D562" s="80" t="inlineStr">
        <is>
          <t>RUSSELL ROWE</t>
        </is>
      </c>
      <c r="E562" s="80" t="inlineStr">
        <is>
          <t>ALEXANDER BAUTISTA</t>
        </is>
      </c>
      <c r="F562" s="80" t="inlineStr">
        <is>
          <t>HEATHER SOLIS</t>
        </is>
      </c>
      <c r="G562" s="80" t="inlineStr">
        <is>
          <t>HEATHER SOLIS</t>
        </is>
      </c>
      <c r="H562" s="80" t="inlineStr">
        <is>
          <t>138-1</t>
        </is>
      </c>
      <c r="I562" s="111">
        <f>COUNTIF(Tower_3!G:G,'All Associates'!A562)+COUNTIF(Tower_4!G:G,'All Associates'!A562)+COUNTIF(Tower_5!G:G,'All Associates'!A562)+COUNTIF(Tower_6!G:G,'All Associates'!A562)+COUNTIF(Riviera_3!G:G,'All Associates'!A562)+COUNTIF(Riviera_4!G:G,'All Associates'!A562)+COUNTIF(Riviera_5!G:G,'All Associates'!A562)</f>
        <v/>
      </c>
      <c r="J562" s="112">
        <f>IF(I562=0,"Not Allocated",IF(I562=1,"Allocated","Duplicate"))</f>
        <v/>
      </c>
    </row>
    <row r="563" hidden="1">
      <c r="A563" s="83" t="n">
        <v>202</v>
      </c>
      <c r="B563" s="80" t="inlineStr">
        <is>
          <t>MICHAEL CALDWELL</t>
        </is>
      </c>
      <c r="C563" s="80" t="inlineStr">
        <is>
          <t>Activ</t>
        </is>
      </c>
      <c r="D563" s="80" t="inlineStr">
        <is>
          <t>SUSAN RAY</t>
        </is>
      </c>
      <c r="E563" s="80" t="inlineStr">
        <is>
          <t>ALEXANDER MILLER</t>
        </is>
      </c>
      <c r="F563" s="80" t="inlineStr">
        <is>
          <t>KIMBERLY CLARK</t>
        </is>
      </c>
      <c r="G563" s="80" t="inlineStr">
        <is>
          <t>ALEXANDER MILLER</t>
        </is>
      </c>
      <c r="H563" s="80" t="inlineStr">
        <is>
          <t>196-1</t>
        </is>
      </c>
      <c r="I563" s="111">
        <f>COUNTIF(Tower_3!G:G,'All Associates'!A563)+COUNTIF(Tower_4!G:G,'All Associates'!A563)+COUNTIF(Tower_5!G:G,'All Associates'!A563)+COUNTIF(Tower_6!G:G,'All Associates'!A563)+COUNTIF(Riviera_3!G:G,'All Associates'!A563)+COUNTIF(Riviera_4!G:G,'All Associates'!A563)+COUNTIF(Riviera_5!G:G,'All Associates'!A563)</f>
        <v/>
      </c>
      <c r="J563" s="112">
        <f>IF(I563=0,"Not Allocated",IF(I563=1,"Allocated","Duplicate"))</f>
        <v/>
      </c>
    </row>
    <row r="564">
      <c r="A564" s="83" t="n">
        <v>1056</v>
      </c>
      <c r="B564" s="80" t="inlineStr">
        <is>
          <t>KATHLEEN ROMAN</t>
        </is>
      </c>
      <c r="C564" s="80" t="inlineStr">
        <is>
          <t>Activ</t>
        </is>
      </c>
      <c r="D564" s="80" t="inlineStr">
        <is>
          <t>RUSSELL ROWE</t>
        </is>
      </c>
      <c r="E564" s="80" t="inlineStr">
        <is>
          <t>ALEXANDER BAUTISTA</t>
        </is>
      </c>
      <c r="F564" s="80" t="inlineStr">
        <is>
          <t>HEATHER SOLIS</t>
        </is>
      </c>
      <c r="G564" s="80" t="inlineStr">
        <is>
          <t>HEATHER SOLIS</t>
        </is>
      </c>
      <c r="H564" s="80" t="inlineStr">
        <is>
          <t>138-1</t>
        </is>
      </c>
      <c r="I564" s="111">
        <f>COUNTIF(Tower_3!G:G,'All Associates'!A564)+COUNTIF(Tower_4!G:G,'All Associates'!A564)+COUNTIF(Tower_5!G:G,'All Associates'!A564)+COUNTIF(Tower_6!G:G,'All Associates'!A564)+COUNTIF(Riviera_3!G:G,'All Associates'!A564)+COUNTIF(Riviera_4!G:G,'All Associates'!A564)+COUNTIF(Riviera_5!G:G,'All Associates'!A564)</f>
        <v/>
      </c>
      <c r="J564" s="112">
        <f>IF(I564=0,"Not Allocated",IF(I564=1,"Allocated","Duplicate"))</f>
        <v/>
      </c>
    </row>
    <row r="565" hidden="1">
      <c r="A565" s="83" t="n">
        <v>1125</v>
      </c>
      <c r="B565" s="80" t="inlineStr">
        <is>
          <t>JENNIFER WATSON</t>
        </is>
      </c>
      <c r="C565" s="80" t="inlineStr">
        <is>
          <t>Activ</t>
        </is>
      </c>
      <c r="D565" s="80" t="inlineStr">
        <is>
          <t>PHILLIP TRAVIS</t>
        </is>
      </c>
      <c r="E565" s="80" t="inlineStr">
        <is>
          <t>KIMBERLY CLARK</t>
        </is>
      </c>
      <c r="F565" s="80" t="inlineStr">
        <is>
          <t>KIMBERLY CLARK</t>
        </is>
      </c>
      <c r="G565" s="80" t="inlineStr">
        <is>
          <t>PHILLIP TRAVIS</t>
        </is>
      </c>
      <c r="H565" s="80" t="inlineStr">
        <is>
          <t>156-1</t>
        </is>
      </c>
      <c r="I565" s="111">
        <f>COUNTIF(Tower_3!G:G,'All Associates'!A565)+COUNTIF(Tower_4!G:G,'All Associates'!A565)+COUNTIF(Tower_5!G:G,'All Associates'!A565)+COUNTIF(Tower_6!G:G,'All Associates'!A565)+COUNTIF(Riviera_3!G:G,'All Associates'!A565)+COUNTIF(Riviera_4!G:G,'All Associates'!A565)+COUNTIF(Riviera_5!G:G,'All Associates'!A565)</f>
        <v/>
      </c>
      <c r="J565" s="112">
        <f>IF(I565=0,"Not Allocated",IF(I565=1,"Allocated","Duplicate"))</f>
        <v/>
      </c>
    </row>
    <row r="566" hidden="1">
      <c r="A566" s="83" t="n">
        <v>1086</v>
      </c>
      <c r="B566" s="80" t="inlineStr">
        <is>
          <t>MICHAEL GREEN</t>
        </is>
      </c>
      <c r="C566" s="80" t="inlineStr">
        <is>
          <t>Activ</t>
        </is>
      </c>
      <c r="D566" s="80" t="inlineStr">
        <is>
          <t>AMY ROBERTS</t>
        </is>
      </c>
      <c r="E566" s="80" t="inlineStr">
        <is>
          <t>BETH TUCKER</t>
        </is>
      </c>
      <c r="F566" s="80" t="inlineStr">
        <is>
          <t>KIMBERLY CLARK</t>
        </is>
      </c>
      <c r="G566" s="80" t="inlineStr">
        <is>
          <t>KIMBERLY CLARK</t>
        </is>
      </c>
      <c r="H566" s="80" t="inlineStr">
        <is>
          <t>156-2</t>
        </is>
      </c>
      <c r="I566" s="111">
        <f>COUNTIF(Tower_3!G:G,'All Associates'!A566)+COUNTIF(Tower_4!G:G,'All Associates'!A566)+COUNTIF(Tower_5!G:G,'All Associates'!A566)+COUNTIF(Tower_6!G:G,'All Associates'!A566)+COUNTIF(Riviera_3!G:G,'All Associates'!A566)+COUNTIF(Riviera_4!G:G,'All Associates'!A566)+COUNTIF(Riviera_5!G:G,'All Associates'!A566)</f>
        <v/>
      </c>
      <c r="J566" s="112">
        <f>IF(I566=0,"Not Allocated",IF(I566=1,"Allocated","Duplicate"))</f>
        <v/>
      </c>
    </row>
    <row r="567" hidden="1">
      <c r="A567" s="83" t="n">
        <v>1222</v>
      </c>
      <c r="B567" s="80" t="inlineStr">
        <is>
          <t>CARRIE DAVIS</t>
        </is>
      </c>
      <c r="C567" s="80" t="inlineStr">
        <is>
          <t>Activ</t>
        </is>
      </c>
      <c r="D567" s="80" t="inlineStr">
        <is>
          <t>DOUGLAS LUNA</t>
        </is>
      </c>
      <c r="E567" s="80" t="inlineStr">
        <is>
          <t>ADAM SMITH</t>
        </is>
      </c>
      <c r="F567" s="80" t="inlineStr">
        <is>
          <t>PHILLIP TRAVIS</t>
        </is>
      </c>
      <c r="G567" s="80" t="inlineStr">
        <is>
          <t>PHILLIP TRAVIS</t>
        </is>
      </c>
      <c r="H567" s="80" t="inlineStr">
        <is>
          <t>156-1</t>
        </is>
      </c>
      <c r="I567" s="111">
        <f>COUNTIF(Tower_3!G:G,'All Associates'!A567)+COUNTIF(Tower_4!G:G,'All Associates'!A567)+COUNTIF(Tower_5!G:G,'All Associates'!A567)+COUNTIF(Tower_6!G:G,'All Associates'!A567)+COUNTIF(Riviera_3!G:G,'All Associates'!A567)+COUNTIF(Riviera_4!G:G,'All Associates'!A567)+COUNTIF(Riviera_5!G:G,'All Associates'!A567)</f>
        <v/>
      </c>
      <c r="J567" s="112">
        <f>IF(I567=0,"Not Allocated",IF(I567=1,"Allocated","Duplicate"))</f>
        <v/>
      </c>
    </row>
    <row r="568" hidden="1">
      <c r="A568" s="83" t="n">
        <v>1160</v>
      </c>
      <c r="B568" s="80" t="inlineStr">
        <is>
          <t>RYAN ROBINSON</t>
        </is>
      </c>
      <c r="C568" s="80" t="inlineStr">
        <is>
          <t>Activ</t>
        </is>
      </c>
      <c r="D568" s="80" t="inlineStr">
        <is>
          <t>AMY ACOSTA</t>
        </is>
      </c>
      <c r="E568" s="80" t="inlineStr">
        <is>
          <t>MARISSA CROSS</t>
        </is>
      </c>
      <c r="F568" s="80" t="inlineStr">
        <is>
          <t>KIMBERLY CLARK</t>
        </is>
      </c>
      <c r="G568" s="80" t="inlineStr">
        <is>
          <t>MARISSA CROSS</t>
        </is>
      </c>
      <c r="H568" s="80" t="inlineStr">
        <is>
          <t>220-2</t>
        </is>
      </c>
      <c r="I568" s="111">
        <f>COUNTIF(Tower_3!G:G,'All Associates'!A568)+COUNTIF(Tower_4!G:G,'All Associates'!A568)+COUNTIF(Tower_5!G:G,'All Associates'!A568)+COUNTIF(Tower_6!G:G,'All Associates'!A568)+COUNTIF(Riviera_3!G:G,'All Associates'!A568)+COUNTIF(Riviera_4!G:G,'All Associates'!A568)+COUNTIF(Riviera_5!G:G,'All Associates'!A568)</f>
        <v/>
      </c>
      <c r="J568" s="112">
        <f>IF(I568=0,"Not Allocated",IF(I568=1,"Allocated","Duplicate"))</f>
        <v/>
      </c>
    </row>
    <row r="569" hidden="1">
      <c r="A569" s="83" t="n">
        <v>947</v>
      </c>
      <c r="B569" s="80" t="inlineStr">
        <is>
          <t>AMY MARTIN MD</t>
        </is>
      </c>
      <c r="C569" s="80" t="inlineStr">
        <is>
          <t>Activ</t>
        </is>
      </c>
      <c r="D569" s="80" t="inlineStr">
        <is>
          <t>JENNIFER WATSON</t>
        </is>
      </c>
      <c r="E569" s="80" t="inlineStr">
        <is>
          <t>BETH TUCKER</t>
        </is>
      </c>
      <c r="F569" s="80" t="inlineStr">
        <is>
          <t>KIMBERLY CLARK</t>
        </is>
      </c>
      <c r="G569" s="80" t="inlineStr">
        <is>
          <t>KIMBERLY CLARK</t>
        </is>
      </c>
      <c r="H569" s="80" t="inlineStr">
        <is>
          <t>156-2</t>
        </is>
      </c>
      <c r="I569" s="111">
        <f>COUNTIF(Tower_3!G:G,'All Associates'!A569)+COUNTIF(Tower_4!G:G,'All Associates'!A569)+COUNTIF(Tower_5!G:G,'All Associates'!A569)+COUNTIF(Tower_6!G:G,'All Associates'!A569)+COUNTIF(Riviera_3!G:G,'All Associates'!A569)+COUNTIF(Riviera_4!G:G,'All Associates'!A569)+COUNTIF(Riviera_5!G:G,'All Associates'!A569)</f>
        <v/>
      </c>
      <c r="J569" s="112">
        <f>IF(I569=0,"Not Allocated",IF(I569=1,"Allocated","Duplicate"))</f>
        <v/>
      </c>
    </row>
    <row r="570">
      <c r="A570" s="92" t="n">
        <v>1111</v>
      </c>
      <c r="B570" s="93" t="inlineStr">
        <is>
          <t>MELISSA HUGHES MD</t>
        </is>
      </c>
      <c r="C570" s="93" t="inlineStr">
        <is>
          <t>Activ</t>
        </is>
      </c>
      <c r="D570" s="93" t="inlineStr">
        <is>
          <t>ALICIA WOODS</t>
        </is>
      </c>
      <c r="E570" s="93" t="inlineStr">
        <is>
          <t>KIMBERLY CLARK</t>
        </is>
      </c>
      <c r="F570" s="93" t="inlineStr">
        <is>
          <t>KIMBERLY CLARK</t>
        </is>
      </c>
      <c r="G570" s="93" t="inlineStr">
        <is>
          <t>KIMBERLY CLARK</t>
        </is>
      </c>
      <c r="H570" s="93" t="inlineStr">
        <is>
          <t>411-1</t>
        </is>
      </c>
      <c r="I570" s="111">
        <f>COUNTIF(Tower_3!G:G,'All Associates'!A570)+COUNTIF(Tower_4!G:G,'All Associates'!A570)+COUNTIF(Tower_5!G:G,'All Associates'!A570)+COUNTIF(Tower_6!G:G,'All Associates'!A570)+COUNTIF(Riviera_3!G:G,'All Associates'!A570)+COUNTIF(Riviera_4!G:G,'All Associates'!A570)+COUNTIF(Riviera_5!G:G,'All Associates'!A570)</f>
        <v/>
      </c>
      <c r="J570" s="112">
        <f>IF(I570=0,"Not Allocated",IF(I570=1,"Allocated","Duplicate"))</f>
        <v/>
      </c>
    </row>
    <row r="571" hidden="1">
      <c r="A571" s="83" t="n">
        <v>710</v>
      </c>
      <c r="B571" s="80" t="inlineStr">
        <is>
          <t>AMY MASON</t>
        </is>
      </c>
      <c r="C571" s="80" t="inlineStr">
        <is>
          <t>Activ</t>
        </is>
      </c>
      <c r="D571" s="80" t="inlineStr">
        <is>
          <t>STEPHANIE HANSEN</t>
        </is>
      </c>
      <c r="E571" s="80" t="inlineStr">
        <is>
          <t>HEATHER SOLIS</t>
        </is>
      </c>
      <c r="F571" s="80" t="inlineStr">
        <is>
          <t>KIMBERLY CLARK</t>
        </is>
      </c>
      <c r="G571" s="80" t="inlineStr">
        <is>
          <t>HEATHER SOLIS</t>
        </is>
      </c>
      <c r="H571" s="80" t="inlineStr">
        <is>
          <t>138-1</t>
        </is>
      </c>
      <c r="I571" s="111">
        <f>COUNTIF(Tower_3!G:G,'All Associates'!A571)+COUNTIF(Tower_4!G:G,'All Associates'!A571)+COUNTIF(Tower_5!G:G,'All Associates'!A571)+COUNTIF(Tower_6!G:G,'All Associates'!A571)+COUNTIF(Riviera_3!G:G,'All Associates'!A571)+COUNTIF(Riviera_4!G:G,'All Associates'!A571)+COUNTIF(Riviera_5!G:G,'All Associates'!A571)</f>
        <v/>
      </c>
      <c r="J571" s="112">
        <f>IF(I571=0,"Not Allocated",IF(I571=1,"Allocated","Duplicate"))</f>
        <v/>
      </c>
    </row>
    <row r="572" hidden="1">
      <c r="A572" s="83" t="n">
        <v>712</v>
      </c>
      <c r="B572" s="80" t="inlineStr">
        <is>
          <t>JENNIFER GRAVES</t>
        </is>
      </c>
      <c r="C572" s="80" t="inlineStr">
        <is>
          <t>Activ</t>
        </is>
      </c>
      <c r="D572" s="80" t="inlineStr">
        <is>
          <t>LISA LINDSEY</t>
        </is>
      </c>
      <c r="E572" s="80" t="inlineStr">
        <is>
          <t>CHARLES POWELL</t>
        </is>
      </c>
      <c r="F572" s="80" t="inlineStr">
        <is>
          <t>KIMBERLY CLARK</t>
        </is>
      </c>
      <c r="G572" s="80" t="inlineStr">
        <is>
          <t>CHARLES POWELL</t>
        </is>
      </c>
      <c r="H572" s="80" t="inlineStr">
        <is>
          <t>180-1</t>
        </is>
      </c>
      <c r="I572" s="111">
        <f>COUNTIF(Tower_3!G:G,'All Associates'!A572)+COUNTIF(Tower_4!G:G,'All Associates'!A572)+COUNTIF(Tower_5!G:G,'All Associates'!A572)+COUNTIF(Tower_6!G:G,'All Associates'!A572)+COUNTIF(Riviera_3!G:G,'All Associates'!A572)+COUNTIF(Riviera_4!G:G,'All Associates'!A572)+COUNTIF(Riviera_5!G:G,'All Associates'!A572)</f>
        <v/>
      </c>
      <c r="J572" s="112">
        <f>IF(I572=0,"Not Allocated",IF(I572=1,"Allocated","Duplicate"))</f>
        <v/>
      </c>
    </row>
    <row r="573" hidden="1">
      <c r="A573" s="83" t="n">
        <v>1059</v>
      </c>
      <c r="B573" s="80" t="inlineStr">
        <is>
          <t>CHAD CRAIG</t>
        </is>
      </c>
      <c r="C573" s="80" t="inlineStr">
        <is>
          <t>Activ</t>
        </is>
      </c>
      <c r="D573" s="80" t="inlineStr">
        <is>
          <t>KATHERINE ANDREWS</t>
        </is>
      </c>
      <c r="E573" s="80" t="inlineStr">
        <is>
          <t>CHAD PEREZ</t>
        </is>
      </c>
      <c r="F573" s="80" t="inlineStr">
        <is>
          <t>MARISSA CROSS</t>
        </is>
      </c>
      <c r="G573" s="80" t="inlineStr">
        <is>
          <t>MARISSA CROSS</t>
        </is>
      </c>
      <c r="H573" s="80" t="inlineStr">
        <is>
          <t>220-2</t>
        </is>
      </c>
      <c r="I573" s="111">
        <f>COUNTIF(Tower_3!G:G,'All Associates'!A573)+COUNTIF(Tower_4!G:G,'All Associates'!A573)+COUNTIF(Tower_5!G:G,'All Associates'!A573)+COUNTIF(Tower_6!G:G,'All Associates'!A573)+COUNTIF(Riviera_3!G:G,'All Associates'!A573)+COUNTIF(Riviera_4!G:G,'All Associates'!A573)+COUNTIF(Riviera_5!G:G,'All Associates'!A573)</f>
        <v/>
      </c>
      <c r="J573" s="112">
        <f>IF(I573=0,"Not Allocated",IF(I573=1,"Allocated","Duplicate"))</f>
        <v/>
      </c>
    </row>
    <row r="574" hidden="1">
      <c r="A574" s="88" t="n">
        <v>1006</v>
      </c>
      <c r="B574" s="89" t="inlineStr">
        <is>
          <t>MICHAEL KENNEDY</t>
        </is>
      </c>
      <c r="C574" s="89" t="inlineStr">
        <is>
          <t>Activ</t>
        </is>
      </c>
      <c r="D574" s="89" t="inlineStr">
        <is>
          <t>JEREMIAH ROBLES</t>
        </is>
      </c>
      <c r="E574" s="89" t="inlineStr">
        <is>
          <t>BETH TUCKER</t>
        </is>
      </c>
      <c r="F574" s="89" t="inlineStr">
        <is>
          <t>KIMBERLY CLARK</t>
        </is>
      </c>
      <c r="G574" s="89" t="inlineStr">
        <is>
          <t>KIMBERLY CLARK</t>
        </is>
      </c>
      <c r="H574" s="89" t="inlineStr">
        <is>
          <t>156-2</t>
        </is>
      </c>
      <c r="I574" s="111">
        <f>COUNTIF(Tower_3!G:G,'All Associates'!A574)+COUNTIF(Tower_4!G:G,'All Associates'!A574)+COUNTIF(Tower_5!G:G,'All Associates'!A574)+COUNTIF(Tower_6!G:G,'All Associates'!A574)+COUNTIF(Riviera_3!G:G,'All Associates'!A574)+COUNTIF(Riviera_4!G:G,'All Associates'!A574)+COUNTIF(Riviera_5!G:G,'All Associates'!A574)</f>
        <v/>
      </c>
      <c r="J574" s="112">
        <f>IF(I574=0,"Not Allocated",IF(I574=1,"Allocated","Duplicate"))</f>
        <v/>
      </c>
    </row>
    <row r="575" hidden="1">
      <c r="A575" s="83" t="n">
        <v>707</v>
      </c>
      <c r="B575" s="80" t="inlineStr">
        <is>
          <t>ROY DOWNS</t>
        </is>
      </c>
      <c r="C575" s="80" t="inlineStr">
        <is>
          <t>Activ</t>
        </is>
      </c>
      <c r="D575" s="80" t="inlineStr">
        <is>
          <t>DANIEL TAYLOR</t>
        </is>
      </c>
      <c r="E575" s="80" t="inlineStr">
        <is>
          <t>REBECCA VAUGHN</t>
        </is>
      </c>
      <c r="F575" s="80" t="inlineStr">
        <is>
          <t>MR. MICHAEL KELLY</t>
        </is>
      </c>
      <c r="G575" s="80" t="inlineStr">
        <is>
          <t>HEATHER SOLIS</t>
        </is>
      </c>
      <c r="H575" s="80" t="inlineStr">
        <is>
          <t>138-2</t>
        </is>
      </c>
      <c r="I575" s="111">
        <f>COUNTIF(Tower_3!G:G,'All Associates'!A575)+COUNTIF(Tower_4!G:G,'All Associates'!A575)+COUNTIF(Tower_5!G:G,'All Associates'!A575)+COUNTIF(Tower_6!G:G,'All Associates'!A575)+COUNTIF(Riviera_3!G:G,'All Associates'!A575)+COUNTIF(Riviera_4!G:G,'All Associates'!A575)+COUNTIF(Riviera_5!G:G,'All Associates'!A575)</f>
        <v/>
      </c>
      <c r="J575" s="112">
        <f>IF(I575=0,"Not Allocated",IF(I575=1,"Allocated","Duplicate"))</f>
        <v/>
      </c>
    </row>
    <row r="576" hidden="1">
      <c r="A576" s="94" t="n">
        <v>1244</v>
      </c>
      <c r="B576" s="94" t="inlineStr">
        <is>
          <t>MONIQUE BAIRD</t>
        </is>
      </c>
      <c r="C576" s="94" t="inlineStr">
        <is>
          <t>Activ</t>
        </is>
      </c>
      <c r="D576" s="94" t="inlineStr">
        <is>
          <t>SUSAN RAY</t>
        </is>
      </c>
      <c r="E576" s="94" t="inlineStr">
        <is>
          <t>ALEXANDER MILLER</t>
        </is>
      </c>
      <c r="F576" s="94" t="inlineStr">
        <is>
          <t>KIMBERLY CLARK</t>
        </is>
      </c>
      <c r="G576" s="94" t="inlineStr">
        <is>
          <t>ALEXANDER MILLER</t>
        </is>
      </c>
      <c r="H576" s="94" t="inlineStr">
        <is>
          <t>196-1</t>
        </is>
      </c>
      <c r="I576" s="111">
        <f>COUNTIF(Tower_3!G:G,'All Associates'!A576)+COUNTIF(Tower_4!G:G,'All Associates'!A576)+COUNTIF(Tower_5!G:G,'All Associates'!A576)+COUNTIF(Tower_6!G:G,'All Associates'!A576)+COUNTIF(Riviera_3!G:G,'All Associates'!A576)+COUNTIF(Riviera_4!G:G,'All Associates'!A576)+COUNTIF(Riviera_5!G:G,'All Associates'!A576)</f>
        <v/>
      </c>
      <c r="J576" s="112">
        <f>IF(I576=0,"Not Allocated",IF(I576=1,"Allocated","Duplicate"))</f>
        <v/>
      </c>
    </row>
    <row r="577" hidden="1">
      <c r="A577" s="94" t="n">
        <v>1245</v>
      </c>
      <c r="B577" s="94" t="inlineStr">
        <is>
          <t>GREGORY TRUJILLO</t>
        </is>
      </c>
      <c r="C577" s="94" t="inlineStr">
        <is>
          <t>Activ</t>
        </is>
      </c>
      <c r="D577" s="94" t="inlineStr">
        <is>
          <t>TRAVIS WHITE</t>
        </is>
      </c>
      <c r="E577" s="94" t="inlineStr">
        <is>
          <t>KIMBERLY CLARK</t>
        </is>
      </c>
      <c r="F577" s="94" t="inlineStr">
        <is>
          <t>KIMBERLY CLARK</t>
        </is>
      </c>
      <c r="G577" s="94" t="inlineStr">
        <is>
          <t>KIMBERLY CLARK</t>
        </is>
      </c>
      <c r="H577" s="94" t="inlineStr">
        <is>
          <t>200-1</t>
        </is>
      </c>
      <c r="I577" s="111">
        <f>COUNTIF(Tower_3!G:G,'All Associates'!A577)+COUNTIF(Tower_4!G:G,'All Associates'!A577)+COUNTIF(Tower_5!G:G,'All Associates'!A577)+COUNTIF(Tower_6!G:G,'All Associates'!A577)+COUNTIF(Riviera_3!G:G,'All Associates'!A577)+COUNTIF(Riviera_4!G:G,'All Associates'!A577)+COUNTIF(Riviera_5!G:G,'All Associates'!A577)</f>
        <v/>
      </c>
      <c r="J577" s="112">
        <f>IF(I577=0,"Not Allocated",IF(I577=1,"Allocated","Duplicate"))</f>
        <v/>
      </c>
    </row>
    <row r="578" hidden="1">
      <c r="A578" s="94" t="n">
        <v>1246</v>
      </c>
      <c r="B578" s="94" t="inlineStr">
        <is>
          <t>PETER WILLIAMS</t>
        </is>
      </c>
      <c r="C578" s="94" t="inlineStr">
        <is>
          <t>Activ</t>
        </is>
      </c>
      <c r="D578" s="94" t="inlineStr">
        <is>
          <t>AMBER TURNER</t>
        </is>
      </c>
      <c r="E578" s="94" t="inlineStr">
        <is>
          <t>OSCAR TYLER</t>
        </is>
      </c>
      <c r="F578" s="94" t="inlineStr">
        <is>
          <t>KENNETH CONRAD</t>
        </is>
      </c>
      <c r="G578" s="94" t="inlineStr">
        <is>
          <t>KENNETH CONRAD</t>
        </is>
      </c>
      <c r="H578" s="94" t="inlineStr">
        <is>
          <t>127-1</t>
        </is>
      </c>
      <c r="I578" s="111">
        <f>COUNTIF(Tower_3!G:G,'All Associates'!A578)+COUNTIF(Tower_4!G:G,'All Associates'!A578)+COUNTIF(Tower_5!G:G,'All Associates'!A578)+COUNTIF(Tower_6!G:G,'All Associates'!A578)+COUNTIF(Riviera_3!G:G,'All Associates'!A578)+COUNTIF(Riviera_4!G:G,'All Associates'!A578)+COUNTIF(Riviera_5!G:G,'All Associates'!A578)</f>
        <v/>
      </c>
      <c r="J578" s="112">
        <f>IF(I578=0,"Not Allocated",IF(I578=1,"Allocated","Duplicate"))</f>
        <v/>
      </c>
    </row>
    <row r="579" hidden="1">
      <c r="A579" s="94" t="n">
        <v>1247</v>
      </c>
      <c r="B579" s="94" t="inlineStr">
        <is>
          <t>CHRISTIAN NGUYEN</t>
        </is>
      </c>
      <c r="C579" s="94" t="inlineStr">
        <is>
          <t>Activ</t>
        </is>
      </c>
      <c r="D579" s="94" t="inlineStr">
        <is>
          <t>CHRISTINE WALTON DDS</t>
        </is>
      </c>
      <c r="E579" s="94" t="inlineStr">
        <is>
          <t>ADAM SMITH</t>
        </is>
      </c>
      <c r="F579" s="94" t="inlineStr">
        <is>
          <t>PHILLIP TRAVIS</t>
        </is>
      </c>
      <c r="G579" s="94" t="inlineStr">
        <is>
          <t>PHILLIP TRAVIS</t>
        </is>
      </c>
      <c r="H579" s="94" t="inlineStr">
        <is>
          <t>156-1</t>
        </is>
      </c>
      <c r="I579" s="111">
        <f>COUNTIF(Tower_3!G:G,'All Associates'!A579)+COUNTIF(Tower_4!G:G,'All Associates'!A579)+COUNTIF(Tower_5!G:G,'All Associates'!A579)+COUNTIF(Tower_6!G:G,'All Associates'!A579)+COUNTIF(Riviera_3!G:G,'All Associates'!A579)+COUNTIF(Riviera_4!G:G,'All Associates'!A579)+COUNTIF(Riviera_5!G:G,'All Associates'!A579)</f>
        <v/>
      </c>
      <c r="J579" s="112">
        <f>IF(I579=0,"Not Allocated",IF(I579=1,"Allocated","Duplicate"))</f>
        <v/>
      </c>
    </row>
    <row r="580" hidden="1">
      <c r="A580" s="96" t="n">
        <v>2001</v>
      </c>
      <c r="B580" s="97" t="inlineStr">
        <is>
          <t>JENNIFER PARKER</t>
        </is>
      </c>
      <c r="C580" s="98" t="n"/>
      <c r="D580" s="102" t="inlineStr">
        <is>
          <t>LYDIA JACKSON</t>
        </is>
      </c>
      <c r="E580" s="98" t="n"/>
      <c r="F580" s="98" t="n"/>
      <c r="G580" s="97" t="inlineStr">
        <is>
          <t>HEATHER SOLIS</t>
        </is>
      </c>
      <c r="H580" s="97" t="inlineStr">
        <is>
          <t>138-1</t>
        </is>
      </c>
      <c r="I580" s="111">
        <f>COUNTIF(Tower_3!G:G,'All Associates'!A580)+COUNTIF(Tower_4!G:G,'All Associates'!A580)+COUNTIF(Tower_5!G:G,'All Associates'!A580)+COUNTIF(Tower_6!G:G,'All Associates'!A580)+COUNTIF(Riviera_3!G:G,'All Associates'!A580)+COUNTIF(Riviera_4!G:G,'All Associates'!A580)+COUNTIF(Riviera_5!G:G,'All Associates'!A580)</f>
        <v/>
      </c>
      <c r="J580" s="112">
        <f>IF(I580=0,"Not Allocated",IF(I580=1,"Allocated","Duplicate"))</f>
        <v/>
      </c>
    </row>
    <row r="581" hidden="1">
      <c r="A581" s="96" t="n">
        <v>2002</v>
      </c>
      <c r="B581" s="97" t="inlineStr">
        <is>
          <t>MARY DELACRUZ</t>
        </is>
      </c>
      <c r="C581" s="98" t="n"/>
      <c r="D581" s="102" t="inlineStr">
        <is>
          <t>AMY ROBERTS</t>
        </is>
      </c>
      <c r="E581" s="98" t="n"/>
      <c r="F581" s="98" t="n"/>
      <c r="G581" s="100" t="inlineStr">
        <is>
          <t>KIMBERLY CLARK</t>
        </is>
      </c>
      <c r="H581" s="97" t="inlineStr">
        <is>
          <t>156-2</t>
        </is>
      </c>
      <c r="I581" s="111">
        <f>COUNTIF(Tower_3!G:G,'All Associates'!A581)+COUNTIF(Tower_4!G:G,'All Associates'!A581)+COUNTIF(Tower_5!G:G,'All Associates'!A581)+COUNTIF(Tower_6!G:G,'All Associates'!A581)+COUNTIF(Riviera_3!G:G,'All Associates'!A581)+COUNTIF(Riviera_4!G:G,'All Associates'!A581)+COUNTIF(Riviera_5!G:G,'All Associates'!A581)</f>
        <v/>
      </c>
      <c r="J581" s="112">
        <f>IF(I581=0,"Not Allocated",IF(I581=1,"Allocated","Duplicate"))</f>
        <v/>
      </c>
    </row>
    <row r="582">
      <c r="A582" s="96" t="n">
        <v>2003</v>
      </c>
      <c r="B582" s="97" t="inlineStr">
        <is>
          <t>MINDY JARVIS</t>
        </is>
      </c>
      <c r="C582" s="98" t="n"/>
      <c r="D582" s="102" t="inlineStr">
        <is>
          <t>SUMMER BARRETT</t>
        </is>
      </c>
      <c r="E582" s="98" t="n"/>
      <c r="F582" s="98" t="n"/>
      <c r="G582" s="101" t="inlineStr">
        <is>
          <t>ALEXANDER MILLER</t>
        </is>
      </c>
      <c r="H582" s="97" t="inlineStr">
        <is>
          <t>135-1</t>
        </is>
      </c>
      <c r="I582" s="111">
        <f>COUNTIF(Tower_3!G:G,'All Associates'!A582)+COUNTIF(Tower_4!G:G,'All Associates'!A582)+COUNTIF(Tower_5!G:G,'All Associates'!A582)+COUNTIF(Tower_6!G:G,'All Associates'!A582)+COUNTIF(Riviera_3!G:G,'All Associates'!A582)+COUNTIF(Riviera_4!G:G,'All Associates'!A582)+COUNTIF(Riviera_5!G:G,'All Associates'!A582)</f>
        <v/>
      </c>
      <c r="J582" s="112">
        <f>IF(I582=0,"Not Allocated",IF(I582=1,"Allocated","Duplicate"))</f>
        <v/>
      </c>
    </row>
    <row r="583" hidden="1">
      <c r="A583" s="96" t="n">
        <v>2004</v>
      </c>
      <c r="B583" s="97" t="inlineStr">
        <is>
          <t>KELSEY MOORE</t>
        </is>
      </c>
      <c r="C583" s="98" t="n"/>
      <c r="D583" s="102" t="inlineStr">
        <is>
          <t>EDDIE DAY</t>
        </is>
      </c>
      <c r="E583" s="98" t="n"/>
      <c r="F583" s="98" t="n"/>
      <c r="G583" s="97" t="inlineStr">
        <is>
          <t>MARISSA CROSS</t>
        </is>
      </c>
      <c r="H583" s="97" t="inlineStr">
        <is>
          <t>220-2</t>
        </is>
      </c>
      <c r="I583" s="111">
        <f>COUNTIF(Tower_3!G:G,'All Associates'!A583)+COUNTIF(Tower_4!G:G,'All Associates'!A583)+COUNTIF(Tower_5!G:G,'All Associates'!A583)+COUNTIF(Tower_6!G:G,'All Associates'!A583)+COUNTIF(Riviera_3!G:G,'All Associates'!A583)+COUNTIF(Riviera_4!G:G,'All Associates'!A583)+COUNTIF(Riviera_5!G:G,'All Associates'!A583)</f>
        <v/>
      </c>
      <c r="J583" s="112">
        <f>IF(I583=0,"Not Allocated",IF(I583=1,"Allocated","Duplicate"))</f>
        <v/>
      </c>
    </row>
    <row r="584" hidden="1">
      <c r="A584" s="96" t="n">
        <v>2005</v>
      </c>
      <c r="B584" s="97" t="inlineStr">
        <is>
          <t>JUSTIN ELLIS</t>
        </is>
      </c>
      <c r="C584" s="98" t="n"/>
      <c r="D584" s="100" t="inlineStr">
        <is>
          <t>CHARLES POWELL</t>
        </is>
      </c>
      <c r="E584" s="98" t="n"/>
      <c r="F584" s="98" t="n"/>
      <c r="G584" s="97" t="inlineStr">
        <is>
          <t>CHARLES POWELL</t>
        </is>
      </c>
      <c r="H584" s="97" t="inlineStr">
        <is>
          <t>138-3</t>
        </is>
      </c>
      <c r="I584" s="111">
        <f>COUNTIF(Tower_3!G:G,'All Associates'!A584)+COUNTIF(Tower_4!G:G,'All Associates'!A584)+COUNTIF(Tower_5!G:G,'All Associates'!A584)+COUNTIF(Tower_6!G:G,'All Associates'!A584)+COUNTIF(Riviera_3!G:G,'All Associates'!A584)+COUNTIF(Riviera_4!G:G,'All Associates'!A584)+COUNTIF(Riviera_5!G:G,'All Associates'!A584)</f>
        <v/>
      </c>
      <c r="J584" s="112">
        <f>IF(I584=0,"Not Allocated",IF(I584=1,"Allocated","Duplicate"))</f>
        <v/>
      </c>
    </row>
    <row r="585" hidden="1">
      <c r="A585" s="96" t="n">
        <v>2006</v>
      </c>
      <c r="B585" s="97" t="inlineStr">
        <is>
          <t>DR. TRAVIS EVANS DVM</t>
        </is>
      </c>
      <c r="C585" s="98" t="n"/>
      <c r="D585" s="102" t="inlineStr">
        <is>
          <t>JENNIFER WATSON</t>
        </is>
      </c>
      <c r="E585" s="98" t="n"/>
      <c r="F585" s="98" t="n"/>
      <c r="G585" s="100" t="inlineStr">
        <is>
          <t>KIMBERLY CLARK</t>
        </is>
      </c>
      <c r="H585" s="97" t="inlineStr">
        <is>
          <t>156-2</t>
        </is>
      </c>
      <c r="I585" s="111">
        <f>COUNTIF(Tower_3!G:G,'All Associates'!A585)+COUNTIF(Tower_4!G:G,'All Associates'!A585)+COUNTIF(Tower_5!G:G,'All Associates'!A585)+COUNTIF(Tower_6!G:G,'All Associates'!A585)+COUNTIF(Riviera_3!G:G,'All Associates'!A585)+COUNTIF(Riviera_4!G:G,'All Associates'!A585)+COUNTIF(Riviera_5!G:G,'All Associates'!A585)</f>
        <v/>
      </c>
      <c r="J585" s="112">
        <f>IF(I585=0,"Not Allocated",IF(I585=1,"Allocated","Duplicate"))</f>
        <v/>
      </c>
    </row>
    <row r="586" hidden="1">
      <c r="A586" s="96" t="n">
        <v>2007</v>
      </c>
      <c r="B586" s="97" t="inlineStr">
        <is>
          <t>ANDREW JONES</t>
        </is>
      </c>
      <c r="C586" s="98" t="n"/>
      <c r="D586" s="100" t="inlineStr">
        <is>
          <t>CHARLES POWELL</t>
        </is>
      </c>
      <c r="E586" s="98" t="n"/>
      <c r="F586" s="98" t="n"/>
      <c r="G586" s="97" t="inlineStr">
        <is>
          <t>CHARLES POWELL</t>
        </is>
      </c>
      <c r="H586" s="97" t="inlineStr">
        <is>
          <t>138-3</t>
        </is>
      </c>
      <c r="I586" s="111">
        <f>COUNTIF(Tower_3!G:G,'All Associates'!A586)+COUNTIF(Tower_4!G:G,'All Associates'!A586)+COUNTIF(Tower_5!G:G,'All Associates'!A586)+COUNTIF(Tower_6!G:G,'All Associates'!A586)+COUNTIF(Riviera_3!G:G,'All Associates'!A586)+COUNTIF(Riviera_4!G:G,'All Associates'!A586)+COUNTIF(Riviera_5!G:G,'All Associates'!A586)</f>
        <v/>
      </c>
      <c r="J586" s="112">
        <f>IF(I586=0,"Not Allocated",IF(I586=1,"Allocated","Duplicate"))</f>
        <v/>
      </c>
    </row>
    <row r="587" hidden="1">
      <c r="A587" s="96" t="n">
        <v>2008</v>
      </c>
      <c r="B587" s="97" t="inlineStr">
        <is>
          <t>AARON CRAWFORD</t>
        </is>
      </c>
      <c r="C587" s="98" t="n"/>
      <c r="D587" s="102" t="inlineStr">
        <is>
          <t>ALEXANDER BAUTISTA</t>
        </is>
      </c>
      <c r="E587" s="98" t="n"/>
      <c r="F587" s="98" t="n"/>
      <c r="G587" s="97" t="inlineStr">
        <is>
          <t>HEATHER SOLIS</t>
        </is>
      </c>
      <c r="H587" s="97" t="inlineStr">
        <is>
          <t>138-1</t>
        </is>
      </c>
      <c r="I587" s="111">
        <f>COUNTIF(Tower_3!G:G,'All Associates'!A587)+COUNTIF(Tower_4!G:G,'All Associates'!A587)+COUNTIF(Tower_5!G:G,'All Associates'!A587)+COUNTIF(Tower_6!G:G,'All Associates'!A587)+COUNTIF(Riviera_3!G:G,'All Associates'!A587)+COUNTIF(Riviera_4!G:G,'All Associates'!A587)+COUNTIF(Riviera_5!G:G,'All Associates'!A587)</f>
        <v/>
      </c>
      <c r="J587" s="112">
        <f>IF(I587=0,"Not Allocated",IF(I587=1,"Allocated","Duplicate"))</f>
        <v/>
      </c>
    </row>
    <row r="588" hidden="1" ht="15" customHeight="1">
      <c r="A588" s="96" t="n">
        <v>2010</v>
      </c>
      <c r="B588" s="97" t="inlineStr">
        <is>
          <t>TOMMY HARDING</t>
        </is>
      </c>
      <c r="C588" s="98" t="n"/>
      <c r="D588" s="102" t="inlineStr">
        <is>
          <t>DAVID HARTMAN</t>
        </is>
      </c>
      <c r="E588" s="98" t="n"/>
      <c r="F588" s="98" t="n"/>
      <c r="G588" s="97" t="inlineStr">
        <is>
          <t>MARISSA CROSS</t>
        </is>
      </c>
      <c r="H588" s="97" t="inlineStr">
        <is>
          <t>220-2</t>
        </is>
      </c>
      <c r="I588" s="111">
        <f>COUNTIF(Tower_3!G:G,'All Associates'!A588)+COUNTIF(Tower_4!G:G,'All Associates'!A588)+COUNTIF(Tower_5!G:G,'All Associates'!A588)+COUNTIF(Tower_6!G:G,'All Associates'!A588)+COUNTIF(Riviera_3!G:G,'All Associates'!A588)+COUNTIF(Riviera_4!G:G,'All Associates'!A588)+COUNTIF(Riviera_5!G:G,'All Associates'!A588)</f>
        <v/>
      </c>
      <c r="J588" s="112">
        <f>IF(I588=0,"Not Allocated",IF(I588=1,"Allocated","Duplicate"))</f>
        <v/>
      </c>
    </row>
    <row r="589" hidden="1" ht="15" customHeight="1">
      <c r="A589" s="96" t="n">
        <v>2011</v>
      </c>
      <c r="B589" s="97" t="inlineStr">
        <is>
          <t>ANGELA WALKER</t>
        </is>
      </c>
      <c r="C589" s="98" t="n"/>
      <c r="D589" s="102" t="inlineStr">
        <is>
          <t>JOHN SCOTT DDS</t>
        </is>
      </c>
      <c r="E589" s="98" t="n"/>
      <c r="F589" s="98" t="n"/>
      <c r="G589" s="97" t="inlineStr">
        <is>
          <t>PHILLIP TRAVIS</t>
        </is>
      </c>
      <c r="H589" s="97" t="inlineStr">
        <is>
          <t>156-1</t>
        </is>
      </c>
      <c r="I589" s="111">
        <f>COUNTIF(Tower_3!G:G,'All Associates'!A589)+COUNTIF(Tower_4!G:G,'All Associates'!A589)+COUNTIF(Tower_5!G:G,'All Associates'!A589)+COUNTIF(Tower_6!G:G,'All Associates'!A589)+COUNTIF(Riviera_3!G:G,'All Associates'!A589)+COUNTIF(Riviera_4!G:G,'All Associates'!A589)+COUNTIF(Riviera_5!G:G,'All Associates'!A589)</f>
        <v/>
      </c>
      <c r="J589" s="112">
        <f>IF(I589=0,"Not Allocated",IF(I589=1,"Allocated","Duplicate"))</f>
        <v/>
      </c>
    </row>
    <row r="590" hidden="1" ht="15" customHeight="1">
      <c r="A590" s="104" t="n">
        <v>2012</v>
      </c>
      <c r="B590" s="105" t="inlineStr">
        <is>
          <t>LORI HODGES</t>
        </is>
      </c>
      <c r="C590" s="106" t="n"/>
      <c r="D590" s="105" t="inlineStr">
        <is>
          <t>ADRIAN WILLIAMS</t>
        </is>
      </c>
      <c r="E590" s="106" t="n"/>
      <c r="F590" s="106" t="n"/>
      <c r="G590" s="107" t="inlineStr">
        <is>
          <t>NATHAN HAMILTON</t>
        </is>
      </c>
      <c r="H590" s="105" t="inlineStr">
        <is>
          <t>221-1</t>
        </is>
      </c>
      <c r="I590" s="111">
        <f>COUNTIF(Tower_3!G:G,'All Associates'!A590)+COUNTIF(Tower_4!G:G,'All Associates'!A590)+COUNTIF(Tower_5!G:G,'All Associates'!A590)+COUNTIF(Tower_6!G:G,'All Associates'!A590)+COUNTIF(Riviera_3!G:G,'All Associates'!A590)+COUNTIF(Riviera_4!G:G,'All Associates'!A590)+COUNTIF(Riviera_5!G:G,'All Associates'!A590)</f>
        <v/>
      </c>
      <c r="J590" s="112">
        <f>IF(I590=0,"Not Allocated",IF(I590=1,"Allocated","Duplicate"))</f>
        <v/>
      </c>
    </row>
    <row r="591" hidden="1" ht="15" customHeight="1">
      <c r="A591" s="104" t="n">
        <v>2013</v>
      </c>
      <c r="B591" s="105" t="inlineStr">
        <is>
          <t>EUGENE SMITH</t>
        </is>
      </c>
      <c r="C591" s="106" t="n"/>
      <c r="D591" s="107" t="inlineStr">
        <is>
          <t>JORDAN MARQUEZ</t>
        </is>
      </c>
      <c r="E591" s="106" t="n"/>
      <c r="F591" s="106" t="n"/>
      <c r="G591" s="107" t="inlineStr">
        <is>
          <t>NATHAN HAMILTON</t>
        </is>
      </c>
      <c r="H591" s="105" t="inlineStr">
        <is>
          <t>221-1</t>
        </is>
      </c>
      <c r="I591" s="111">
        <f>COUNTIF(Tower_3!G:G,'All Associates'!A591)+COUNTIF(Tower_4!G:G,'All Associates'!A591)+COUNTIF(Tower_5!G:G,'All Associates'!A591)+COUNTIF(Tower_6!G:G,'All Associates'!A591)+COUNTIF(Riviera_3!G:G,'All Associates'!A591)+COUNTIF(Riviera_4!G:G,'All Associates'!A591)+COUNTIF(Riviera_5!G:G,'All Associates'!A591)</f>
        <v/>
      </c>
      <c r="J591" s="112">
        <f>IF(I591=0,"Not Allocated",IF(I591=1,"Allocated","Duplicate"))</f>
        <v/>
      </c>
    </row>
    <row r="592" hidden="1" ht="15" customHeight="1">
      <c r="A592" s="104" t="n">
        <v>2014</v>
      </c>
      <c r="B592" s="105" t="inlineStr">
        <is>
          <t>LINDA PONCE</t>
        </is>
      </c>
      <c r="C592" s="106" t="n"/>
      <c r="D592" s="105" t="inlineStr">
        <is>
          <t>DENNIS AGUIRRE</t>
        </is>
      </c>
      <c r="E592" s="106" t="n"/>
      <c r="F592" s="106" t="n"/>
      <c r="G592" s="105" t="inlineStr">
        <is>
          <t>PHILLIP TRAVIS</t>
        </is>
      </c>
      <c r="H592" s="105" t="inlineStr">
        <is>
          <t>156-1</t>
        </is>
      </c>
      <c r="I592" s="111">
        <f>COUNTIF(Tower_3!G:G,'All Associates'!A592)+COUNTIF(Tower_4!G:G,'All Associates'!A592)+COUNTIF(Tower_5!G:G,'All Associates'!A592)+COUNTIF(Tower_6!G:G,'All Associates'!A592)+COUNTIF(Riviera_3!G:G,'All Associates'!A592)+COUNTIF(Riviera_4!G:G,'All Associates'!A592)+COUNTIF(Riviera_5!G:G,'All Associates'!A592)</f>
        <v/>
      </c>
      <c r="J592" s="112">
        <f>IF(I592=0,"Not Allocated",IF(I592=1,"Allocated","Duplicate"))</f>
        <v/>
      </c>
    </row>
    <row r="593" hidden="1" ht="15" customHeight="1">
      <c r="A593" s="104" t="n">
        <v>2015</v>
      </c>
      <c r="B593" s="105" t="inlineStr">
        <is>
          <t>STEPHANIE STRONG</t>
        </is>
      </c>
      <c r="C593" s="106" t="n"/>
      <c r="D593" s="105" t="inlineStr">
        <is>
          <t>MATTHEW BAKER</t>
        </is>
      </c>
      <c r="E593" s="106" t="n"/>
      <c r="F593" s="106" t="n"/>
      <c r="G593" s="107" t="inlineStr">
        <is>
          <t>KIMBERLY CLARK</t>
        </is>
      </c>
      <c r="H593" s="105" t="inlineStr">
        <is>
          <t>156-2</t>
        </is>
      </c>
      <c r="I593" s="111">
        <f>COUNTIF(Tower_3!G:G,'All Associates'!A593)+COUNTIF(Tower_4!G:G,'All Associates'!A593)+COUNTIF(Tower_5!G:G,'All Associates'!A593)+COUNTIF(Tower_6!G:G,'All Associates'!A593)+COUNTIF(Riviera_3!G:G,'All Associates'!A593)+COUNTIF(Riviera_4!G:G,'All Associates'!A593)+COUNTIF(Riviera_5!G:G,'All Associates'!A593)</f>
        <v/>
      </c>
      <c r="J593" s="112">
        <f>IF(I593=0,"Not Allocated",IF(I593=1,"Allocated","Duplicate"))</f>
        <v/>
      </c>
    </row>
    <row r="594" hidden="1" ht="15" customHeight="1">
      <c r="A594" s="104" t="n">
        <v>2016</v>
      </c>
      <c r="B594" s="105" t="inlineStr">
        <is>
          <t>RACHEL FISCHER</t>
        </is>
      </c>
      <c r="C594" s="106" t="n"/>
      <c r="D594" s="105" t="inlineStr">
        <is>
          <t>MICHAEL ROSALES</t>
        </is>
      </c>
      <c r="E594" s="106" t="n"/>
      <c r="F594" s="106" t="n"/>
      <c r="G594" s="107" t="inlineStr">
        <is>
          <t>KIMBERLY CLARK</t>
        </is>
      </c>
      <c r="H594" s="105" t="inlineStr">
        <is>
          <t>156-2</t>
        </is>
      </c>
      <c r="I594" s="111">
        <f>COUNTIF(Tower_3!G:G,'All Associates'!A594)+COUNTIF(Tower_4!G:G,'All Associates'!A594)+COUNTIF(Tower_5!G:G,'All Associates'!A594)+COUNTIF(Tower_6!G:G,'All Associates'!A594)+COUNTIF(Riviera_3!G:G,'All Associates'!A594)+COUNTIF(Riviera_4!G:G,'All Associates'!A594)+COUNTIF(Riviera_5!G:G,'All Associates'!A594)</f>
        <v/>
      </c>
      <c r="J594" s="112">
        <f>IF(I594=0,"Not Allocated",IF(I594=1,"Allocated","Duplicate"))</f>
        <v/>
      </c>
    </row>
    <row r="595" hidden="1" ht="15" customHeight="1">
      <c r="A595" s="104" t="n">
        <v>2017</v>
      </c>
      <c r="B595" s="105" t="inlineStr">
        <is>
          <t>DUANE WOODS</t>
        </is>
      </c>
      <c r="C595" s="106" t="n"/>
      <c r="D595" s="105" t="inlineStr">
        <is>
          <t>KATHERINE ANDREWS</t>
        </is>
      </c>
      <c r="E595" s="106" t="n"/>
      <c r="F595" s="106" t="n"/>
      <c r="G595" s="105" t="inlineStr">
        <is>
          <t>MARISSA CROSS</t>
        </is>
      </c>
      <c r="H595" s="105" t="inlineStr">
        <is>
          <t>220-2</t>
        </is>
      </c>
      <c r="I595" s="111">
        <f>COUNTIF(Tower_3!G:G,'All Associates'!A595)+COUNTIF(Tower_4!G:G,'All Associates'!A595)+COUNTIF(Tower_5!G:G,'All Associates'!A595)+COUNTIF(Tower_6!G:G,'All Associates'!A595)+COUNTIF(Riviera_3!G:G,'All Associates'!A595)+COUNTIF(Riviera_4!G:G,'All Associates'!A595)+COUNTIF(Riviera_5!G:G,'All Associates'!A595)</f>
        <v/>
      </c>
      <c r="J595" s="112">
        <f>IF(I595=0,"Not Allocated",IF(I595=1,"Allocated","Duplicate"))</f>
        <v/>
      </c>
    </row>
    <row r="596" hidden="1" ht="15" customHeight="1">
      <c r="A596" s="104" t="n">
        <v>2018</v>
      </c>
      <c r="B596" s="105" t="inlineStr">
        <is>
          <t>WILLIAM PARKS</t>
        </is>
      </c>
      <c r="C596" s="106" t="n"/>
      <c r="D596" s="105" t="inlineStr">
        <is>
          <t>NATHAN MURRAY</t>
        </is>
      </c>
      <c r="E596" s="106" t="n"/>
      <c r="F596" s="106" t="n"/>
      <c r="G596" s="108" t="inlineStr">
        <is>
          <t>CHARLES POWELL</t>
        </is>
      </c>
      <c r="H596" s="105" t="inlineStr">
        <is>
          <t>138-3</t>
        </is>
      </c>
      <c r="I596" s="111">
        <f>COUNTIF(Tower_3!G:G,'All Associates'!A596)+COUNTIF(Tower_4!G:G,'All Associates'!A596)+COUNTIF(Tower_5!G:G,'All Associates'!A596)+COUNTIF(Tower_6!G:G,'All Associates'!A596)+COUNTIF(Riviera_3!G:G,'All Associates'!A596)+COUNTIF(Riviera_4!G:G,'All Associates'!A596)+COUNTIF(Riviera_5!G:G,'All Associates'!A596)</f>
        <v/>
      </c>
      <c r="J596" s="112">
        <f>IF(I596=0,"Not Allocated",IF(I596=1,"Allocated","Duplicate"))</f>
        <v/>
      </c>
    </row>
    <row r="597" hidden="1" ht="15" customHeight="1">
      <c r="A597" s="104" t="n">
        <v>2019</v>
      </c>
      <c r="B597" s="105" t="inlineStr">
        <is>
          <t>RAY STEVENSON</t>
        </is>
      </c>
      <c r="C597" s="106" t="n"/>
      <c r="D597" s="105" t="inlineStr">
        <is>
          <t>CHRISTOPHER LONG</t>
        </is>
      </c>
      <c r="E597" s="106" t="n"/>
      <c r="F597" s="106" t="n"/>
      <c r="G597" s="105" t="inlineStr">
        <is>
          <t>PHILLIP TRAVIS</t>
        </is>
      </c>
      <c r="H597" s="105" t="inlineStr">
        <is>
          <t>156-1</t>
        </is>
      </c>
      <c r="I597" s="111">
        <f>COUNTIF(Tower_3!G:G,'All Associates'!A597)+COUNTIF(Tower_4!G:G,'All Associates'!A597)+COUNTIF(Tower_5!G:G,'All Associates'!A597)+COUNTIF(Tower_6!G:G,'All Associates'!A597)+COUNTIF(Riviera_3!G:G,'All Associates'!A597)+COUNTIF(Riviera_4!G:G,'All Associates'!A597)+COUNTIF(Riviera_5!G:G,'All Associates'!A597)</f>
        <v/>
      </c>
      <c r="J597" s="112">
        <f>IF(I597=0,"Not Allocated",IF(I597=1,"Allocated","Duplicate"))</f>
        <v/>
      </c>
    </row>
    <row r="598" hidden="1" ht="15" customHeight="1">
      <c r="A598" s="104" t="n">
        <v>2020</v>
      </c>
      <c r="B598" s="105" t="inlineStr">
        <is>
          <t>FRANK BRADFORD</t>
        </is>
      </c>
      <c r="C598" s="106" t="n"/>
      <c r="D598" s="105" t="inlineStr">
        <is>
          <t>CHRISTOPHER HUFFMAN</t>
        </is>
      </c>
      <c r="E598" s="106" t="n"/>
      <c r="F598" s="106" t="n"/>
      <c r="G598" s="108" t="inlineStr">
        <is>
          <t>CHARLES POWELL</t>
        </is>
      </c>
      <c r="H598" s="105" t="inlineStr">
        <is>
          <t>138-3</t>
        </is>
      </c>
      <c r="I598" s="111">
        <f>COUNTIF(Tower_3!G:G,'All Associates'!A598)+COUNTIF(Tower_4!G:G,'All Associates'!A598)+COUNTIF(Tower_5!G:G,'All Associates'!A598)+COUNTIF(Tower_6!G:G,'All Associates'!A598)+COUNTIF(Riviera_3!G:G,'All Associates'!A598)+COUNTIF(Riviera_4!G:G,'All Associates'!A598)+COUNTIF(Riviera_5!G:G,'All Associates'!A598)</f>
        <v/>
      </c>
      <c r="J598" s="112">
        <f>IF(I598=0,"Not Allocated",IF(I598=1,"Allocated","Duplicate"))</f>
        <v/>
      </c>
    </row>
    <row r="599" hidden="1" ht="15" customHeight="1">
      <c r="A599" s="104" t="n">
        <v>2021</v>
      </c>
      <c r="B599" s="105" t="inlineStr">
        <is>
          <t>GREGORY ZIMMERMAN</t>
        </is>
      </c>
      <c r="C599" s="106" t="n"/>
      <c r="D599" s="105" t="inlineStr">
        <is>
          <t>GREGORY PAYNE</t>
        </is>
      </c>
      <c r="E599" s="106" t="n"/>
      <c r="F599" s="106" t="n"/>
      <c r="G599" s="105" t="inlineStr">
        <is>
          <t>PHILLIP TRAVIS</t>
        </is>
      </c>
      <c r="H599" s="105" t="inlineStr">
        <is>
          <t>156-1</t>
        </is>
      </c>
      <c r="I599" s="111">
        <f>COUNTIF(Tower_3!G:G,'All Associates'!A599)+COUNTIF(Tower_4!G:G,'All Associates'!A599)+COUNTIF(Tower_5!G:G,'All Associates'!A599)+COUNTIF(Tower_6!G:G,'All Associates'!A599)+COUNTIF(Riviera_3!G:G,'All Associates'!A599)+COUNTIF(Riviera_4!G:G,'All Associates'!A599)+COUNTIF(Riviera_5!G:G,'All Associates'!A599)</f>
        <v/>
      </c>
      <c r="J599" s="112">
        <f>IF(I599=0,"Not Allocated",IF(I599=1,"Allocated","Duplicate"))</f>
        <v/>
      </c>
    </row>
    <row r="600" hidden="1" ht="15" customHeight="1">
      <c r="A600" s="104" t="n">
        <v>2022</v>
      </c>
      <c r="B600" s="105" t="inlineStr">
        <is>
          <t>MRS. KAREN ESTRADA</t>
        </is>
      </c>
      <c r="C600" s="106" t="n"/>
      <c r="D600" s="105" t="inlineStr">
        <is>
          <t>JASMINE JONES</t>
        </is>
      </c>
      <c r="E600" s="106" t="n"/>
      <c r="F600" s="106" t="n"/>
      <c r="G600" s="105" t="inlineStr">
        <is>
          <t>MARISSA CROSS</t>
        </is>
      </c>
      <c r="H600" s="105" t="inlineStr">
        <is>
          <t>220-2</t>
        </is>
      </c>
      <c r="I600" s="111">
        <f>COUNTIF(Tower_3!G:G,'All Associates'!A600)+COUNTIF(Tower_4!G:G,'All Associates'!A600)+COUNTIF(Tower_5!G:G,'All Associates'!A600)+COUNTIF(Tower_6!G:G,'All Associates'!A600)+COUNTIF(Riviera_3!G:G,'All Associates'!A600)+COUNTIF(Riviera_4!G:G,'All Associates'!A600)+COUNTIF(Riviera_5!G:G,'All Associates'!A600)</f>
        <v/>
      </c>
      <c r="J600" s="112">
        <f>IF(I600=0,"Not Allocated",IF(I600=1,"Allocated","Duplicate"))</f>
        <v/>
      </c>
    </row>
    <row r="601" hidden="1" ht="15" customHeight="1">
      <c r="A601" s="104" t="n">
        <v>2023</v>
      </c>
      <c r="B601" s="105" t="inlineStr">
        <is>
          <t>PATRICK DOUGLAS</t>
        </is>
      </c>
      <c r="C601" s="106" t="n"/>
      <c r="D601" s="105" t="inlineStr">
        <is>
          <t>CRYSTAL HOLLAND</t>
        </is>
      </c>
      <c r="E601" s="106" t="n"/>
      <c r="F601" s="106" t="n"/>
      <c r="G601" s="105" t="inlineStr">
        <is>
          <t>ALEXANDER MILLER</t>
        </is>
      </c>
      <c r="H601" s="105" t="inlineStr">
        <is>
          <t>135-1</t>
        </is>
      </c>
      <c r="I601" s="111">
        <f>COUNTIF(Tower_3!G:G,'All Associates'!A601)+COUNTIF(Tower_4!G:G,'All Associates'!A601)+COUNTIF(Tower_5!G:G,'All Associates'!A601)+COUNTIF(Tower_6!G:G,'All Associates'!A601)+COUNTIF(Riviera_3!G:G,'All Associates'!A601)+COUNTIF(Riviera_4!G:G,'All Associates'!A601)+COUNTIF(Riviera_5!G:G,'All Associates'!A601)</f>
        <v/>
      </c>
      <c r="J601" s="112">
        <f>IF(I601=0,"Not Allocated",IF(I601=1,"Allocated","Duplicate"))</f>
        <v/>
      </c>
    </row>
    <row r="602" hidden="1" ht="15" customHeight="1">
      <c r="A602" s="104" t="n">
        <v>2024</v>
      </c>
      <c r="B602" s="105" t="inlineStr">
        <is>
          <t>JONATHAN MASSEY</t>
        </is>
      </c>
      <c r="C602" s="106" t="n"/>
      <c r="D602" s="105" t="inlineStr">
        <is>
          <t>KAREN HENDERSON</t>
        </is>
      </c>
      <c r="E602" s="106" t="n"/>
      <c r="F602" s="106" t="n"/>
      <c r="G602" s="107" t="inlineStr">
        <is>
          <t>KIMBERLY CLARK</t>
        </is>
      </c>
      <c r="H602" s="105" t="inlineStr">
        <is>
          <t>156-2</t>
        </is>
      </c>
      <c r="I602" s="111">
        <f>COUNTIF(Tower_3!G:G,'All Associates'!A602)+COUNTIF(Tower_4!G:G,'All Associates'!A602)+COUNTIF(Tower_5!G:G,'All Associates'!A602)+COUNTIF(Tower_6!G:G,'All Associates'!A602)+COUNTIF(Riviera_3!G:G,'All Associates'!A602)+COUNTIF(Riviera_4!G:G,'All Associates'!A602)+COUNTIF(Riviera_5!G:G,'All Associates'!A602)</f>
        <v/>
      </c>
      <c r="J602" s="112">
        <f>IF(I602=0,"Not Allocated",IF(I602=1,"Allocated","Duplicate"))</f>
        <v/>
      </c>
    </row>
    <row r="603" hidden="1" ht="15" customHeight="1">
      <c r="A603" s="104" t="n">
        <v>2025</v>
      </c>
      <c r="B603" s="105" t="inlineStr">
        <is>
          <t>ALEXANDRIA RICE</t>
        </is>
      </c>
      <c r="C603" s="106" t="n"/>
      <c r="D603" s="105" t="inlineStr">
        <is>
          <t>JENNY HOWARD</t>
        </is>
      </c>
      <c r="E603" s="106" t="n"/>
      <c r="F603" s="106" t="n"/>
      <c r="G603" s="108" t="inlineStr">
        <is>
          <t>CHARLES POWELL</t>
        </is>
      </c>
      <c r="H603" s="105" t="inlineStr">
        <is>
          <t>138-3</t>
        </is>
      </c>
      <c r="I603" s="111">
        <f>COUNTIF(Tower_3!G:G,'All Associates'!A603)+COUNTIF(Tower_4!G:G,'All Associates'!A603)+COUNTIF(Tower_5!G:G,'All Associates'!A603)+COUNTIF(Tower_6!G:G,'All Associates'!A603)+COUNTIF(Riviera_3!G:G,'All Associates'!A603)+COUNTIF(Riviera_4!G:G,'All Associates'!A603)+COUNTIF(Riviera_5!G:G,'All Associates'!A603)</f>
        <v/>
      </c>
      <c r="J603" s="112">
        <f>IF(I603=0,"Not Allocated",IF(I603=1,"Allocated","Duplicate"))</f>
        <v/>
      </c>
    </row>
    <row r="604" hidden="1" ht="15" customHeight="1">
      <c r="A604" s="104" t="n">
        <v>2026</v>
      </c>
      <c r="B604" s="105" t="inlineStr">
        <is>
          <t>ALEX WHEELER</t>
        </is>
      </c>
      <c r="C604" s="106" t="n"/>
      <c r="D604" s="105" t="inlineStr">
        <is>
          <t>AMY ACOSTA</t>
        </is>
      </c>
      <c r="E604" s="106" t="n"/>
      <c r="F604" s="106" t="n"/>
      <c r="G604" s="105" t="inlineStr">
        <is>
          <t>MARISSA CROSS</t>
        </is>
      </c>
      <c r="H604" s="105" t="inlineStr">
        <is>
          <t>220-2</t>
        </is>
      </c>
      <c r="I604" s="111">
        <f>COUNTIF(Tower_3!G:G,'All Associates'!A604)+COUNTIF(Tower_4!G:G,'All Associates'!A604)+COUNTIF(Tower_5!G:G,'All Associates'!A604)+COUNTIF(Tower_6!G:G,'All Associates'!A604)+COUNTIF(Riviera_3!G:G,'All Associates'!A604)+COUNTIF(Riviera_4!G:G,'All Associates'!A604)+COUNTIF(Riviera_5!G:G,'All Associates'!A604)</f>
        <v/>
      </c>
      <c r="J604" s="112">
        <f>IF(I604=0,"Not Allocated",IF(I604=1,"Allocated","Duplicate"))</f>
        <v/>
      </c>
    </row>
    <row r="605" hidden="1" ht="15" customHeight="1">
      <c r="A605" s="104" t="n">
        <v>2027</v>
      </c>
      <c r="B605" s="105" t="inlineStr">
        <is>
          <t>CARLA OSBORNE</t>
        </is>
      </c>
      <c r="C605" s="106" t="n"/>
      <c r="D605" s="105" t="inlineStr">
        <is>
          <t>AMY ACOSTA</t>
        </is>
      </c>
      <c r="E605" s="106" t="n"/>
      <c r="F605" s="106" t="n"/>
      <c r="G605" s="105" t="inlineStr">
        <is>
          <t>MARISSA CROSS</t>
        </is>
      </c>
      <c r="H605" s="105" t="inlineStr">
        <is>
          <t>220-2</t>
        </is>
      </c>
      <c r="I605" s="111">
        <f>COUNTIF(Tower_3!G:G,'All Associates'!A605)+COUNTIF(Tower_4!G:G,'All Associates'!A605)+COUNTIF(Tower_5!G:G,'All Associates'!A605)+COUNTIF(Tower_6!G:G,'All Associates'!A605)+COUNTIF(Riviera_3!G:G,'All Associates'!A605)+COUNTIF(Riviera_4!G:G,'All Associates'!A605)+COUNTIF(Riviera_5!G:G,'All Associates'!A605)</f>
        <v/>
      </c>
      <c r="J605" s="112">
        <f>IF(I605=0,"Not Allocated",IF(I605=1,"Allocated","Duplicate"))</f>
        <v/>
      </c>
    </row>
    <row r="606" hidden="1" ht="15" customHeight="1">
      <c r="A606" s="104" t="n">
        <v>2028</v>
      </c>
      <c r="B606" s="105" t="inlineStr">
        <is>
          <t>ZOE JONES</t>
        </is>
      </c>
      <c r="C606" s="106" t="n"/>
      <c r="D606" s="105" t="inlineStr">
        <is>
          <t>LISA LINDSEY</t>
        </is>
      </c>
      <c r="E606" s="106" t="n"/>
      <c r="F606" s="106" t="n"/>
      <c r="G606" s="108" t="inlineStr">
        <is>
          <t>CHARLES POWELL</t>
        </is>
      </c>
      <c r="H606" s="105" t="inlineStr">
        <is>
          <t>180-1</t>
        </is>
      </c>
      <c r="I606" s="111">
        <f>COUNTIF(Tower_3!G:G,'All Associates'!A606)+COUNTIF(Tower_4!G:G,'All Associates'!A606)+COUNTIF(Tower_5!G:G,'All Associates'!A606)+COUNTIF(Tower_6!G:G,'All Associates'!A606)+COUNTIF(Riviera_3!G:G,'All Associates'!A606)+COUNTIF(Riviera_4!G:G,'All Associates'!A606)+COUNTIF(Riviera_5!G:G,'All Associates'!A606)</f>
        <v/>
      </c>
      <c r="J606" s="112">
        <f>IF(I606=0,"Not Allocated",IF(I606=1,"Allocated","Duplicate"))</f>
        <v/>
      </c>
    </row>
    <row r="607" hidden="1" ht="15" customHeight="1">
      <c r="A607" s="104" t="n">
        <v>2029</v>
      </c>
      <c r="B607" s="105" t="inlineStr">
        <is>
          <t>GEORGE NELSON PHD</t>
        </is>
      </c>
      <c r="C607" s="106" t="n"/>
      <c r="D607" s="105" t="inlineStr">
        <is>
          <t>AMY KHAN</t>
        </is>
      </c>
      <c r="E607" s="106" t="n"/>
      <c r="F607" s="106" t="n"/>
      <c r="G607" s="105" t="inlineStr">
        <is>
          <t>MARISSA CROSS</t>
        </is>
      </c>
      <c r="H607" s="105" t="inlineStr">
        <is>
          <t>220-2</t>
        </is>
      </c>
      <c r="I607" s="111">
        <f>COUNTIF(Tower_3!G:G,'All Associates'!A607)+COUNTIF(Tower_4!G:G,'All Associates'!A607)+COUNTIF(Tower_5!G:G,'All Associates'!A607)+COUNTIF(Tower_6!G:G,'All Associates'!A607)+COUNTIF(Riviera_3!G:G,'All Associates'!A607)+COUNTIF(Riviera_4!G:G,'All Associates'!A607)+COUNTIF(Riviera_5!G:G,'All Associates'!A607)</f>
        <v/>
      </c>
      <c r="J607" s="112">
        <f>IF(I607=0,"Not Allocated",IF(I607=1,"Allocated","Duplicate"))</f>
        <v/>
      </c>
    </row>
    <row r="608" hidden="1" ht="15" customHeight="1">
      <c r="A608" s="104" t="n">
        <v>2031</v>
      </c>
      <c r="B608" s="105" t="inlineStr">
        <is>
          <t>JOSE STEWART</t>
        </is>
      </c>
      <c r="C608" s="106" t="n"/>
      <c r="D608" s="105" t="inlineStr">
        <is>
          <t>EDDIE DAY</t>
        </is>
      </c>
      <c r="E608" s="106" t="n"/>
      <c r="F608" s="106" t="n"/>
      <c r="G608" s="105" t="inlineStr">
        <is>
          <t>MARISSA CROSS</t>
        </is>
      </c>
      <c r="H608" s="105" t="inlineStr">
        <is>
          <t>220-2</t>
        </is>
      </c>
      <c r="I608" s="111">
        <f>COUNTIF(Tower_3!G:G,'All Associates'!A608)+COUNTIF(Tower_4!G:G,'All Associates'!A608)+COUNTIF(Tower_5!G:G,'All Associates'!A608)+COUNTIF(Tower_6!G:G,'All Associates'!A608)+COUNTIF(Riviera_3!G:G,'All Associates'!A608)+COUNTIF(Riviera_4!G:G,'All Associates'!A608)+COUNTIF(Riviera_5!G:G,'All Associates'!A608)</f>
        <v/>
      </c>
      <c r="J608" s="112">
        <f>IF(I608=0,"Not Allocated",IF(I608=1,"Allocated","Duplicate"))</f>
        <v/>
      </c>
    </row>
    <row r="609" hidden="1" ht="15" customHeight="1">
      <c r="A609" s="104" t="n">
        <v>2032</v>
      </c>
      <c r="B609" s="105" t="inlineStr">
        <is>
          <t>KEITH MONTOYA</t>
        </is>
      </c>
      <c r="C609" s="106" t="n"/>
      <c r="D609" s="105" t="inlineStr">
        <is>
          <t>JEREMY CASTILLO</t>
        </is>
      </c>
      <c r="E609" s="106" t="n"/>
      <c r="F609" s="106" t="n"/>
      <c r="G609" s="105" t="inlineStr">
        <is>
          <t>PHILLIP TRAVIS</t>
        </is>
      </c>
      <c r="H609" s="105" t="inlineStr">
        <is>
          <t>156-1</t>
        </is>
      </c>
      <c r="I609" s="111">
        <f>COUNTIF(Tower_3!G:G,'All Associates'!A609)+COUNTIF(Tower_4!G:G,'All Associates'!A609)+COUNTIF(Tower_5!G:G,'All Associates'!A609)+COUNTIF(Tower_6!G:G,'All Associates'!A609)+COUNTIF(Riviera_3!G:G,'All Associates'!A609)+COUNTIF(Riviera_4!G:G,'All Associates'!A609)+COUNTIF(Riviera_5!G:G,'All Associates'!A609)</f>
        <v/>
      </c>
      <c r="J609" s="112">
        <f>IF(I609=0,"Not Allocated",IF(I609=1,"Allocated","Duplicate"))</f>
        <v/>
      </c>
    </row>
    <row r="610" hidden="1" ht="15" customHeight="1">
      <c r="A610" s="104" t="n">
        <v>2033</v>
      </c>
      <c r="B610" s="105" t="inlineStr">
        <is>
          <t>JOE LYNCH</t>
        </is>
      </c>
      <c r="C610" s="106" t="n"/>
      <c r="D610" s="105" t="inlineStr">
        <is>
          <t>MELISSA GARZA</t>
        </is>
      </c>
      <c r="E610" s="106" t="n"/>
      <c r="F610" s="106" t="n"/>
      <c r="G610" s="105" t="inlineStr">
        <is>
          <t>PHILLIP TRAVIS</t>
        </is>
      </c>
      <c r="H610" s="105" t="inlineStr">
        <is>
          <t>156-1</t>
        </is>
      </c>
      <c r="I610" s="111">
        <f>COUNTIF(Tower_3!G:G,'All Associates'!A610)+COUNTIF(Tower_4!G:G,'All Associates'!A610)+COUNTIF(Tower_5!G:G,'All Associates'!A610)+COUNTIF(Tower_6!G:G,'All Associates'!A610)+COUNTIF(Riviera_3!G:G,'All Associates'!A610)+COUNTIF(Riviera_4!G:G,'All Associates'!A610)+COUNTIF(Riviera_5!G:G,'All Associates'!A610)</f>
        <v/>
      </c>
      <c r="J610" s="112">
        <f>IF(I610=0,"Not Allocated",IF(I610=1,"Allocated","Duplicate"))</f>
        <v/>
      </c>
    </row>
    <row r="611" hidden="1" ht="15" customHeight="1">
      <c r="A611" s="104" t="n">
        <v>2034</v>
      </c>
      <c r="B611" s="105" t="inlineStr">
        <is>
          <t>STEPHANIE SOTO</t>
        </is>
      </c>
      <c r="C611" s="106" t="n"/>
      <c r="D611" s="105" t="inlineStr">
        <is>
          <t>THERESA HENRY</t>
        </is>
      </c>
      <c r="E611" s="106" t="n"/>
      <c r="F611" s="106" t="n"/>
      <c r="G611" s="105" t="inlineStr">
        <is>
          <t>PHILLIP TRAVIS</t>
        </is>
      </c>
      <c r="H611" s="105" t="inlineStr">
        <is>
          <t>156-1</t>
        </is>
      </c>
      <c r="I611" s="111">
        <f>COUNTIF(Tower_3!G:G,'All Associates'!A611)+COUNTIF(Tower_4!G:G,'All Associates'!A611)+COUNTIF(Tower_5!G:G,'All Associates'!A611)+COUNTIF(Tower_6!G:G,'All Associates'!A611)+COUNTIF(Riviera_3!G:G,'All Associates'!A611)+COUNTIF(Riviera_4!G:G,'All Associates'!A611)+COUNTIF(Riviera_5!G:G,'All Associates'!A611)</f>
        <v/>
      </c>
      <c r="J611" s="112">
        <f>IF(I611=0,"Not Allocated",IF(I611=1,"Allocated","Duplicate"))</f>
        <v/>
      </c>
    </row>
    <row r="612" hidden="1" ht="15" customHeight="1">
      <c r="A612" s="104" t="n">
        <v>2035</v>
      </c>
      <c r="B612" s="105" t="inlineStr">
        <is>
          <t>LESLIE REYES</t>
        </is>
      </c>
      <c r="C612" s="106" t="n"/>
      <c r="D612" s="105" t="inlineStr">
        <is>
          <t>NATHAN MURRAY</t>
        </is>
      </c>
      <c r="E612" s="106" t="n"/>
      <c r="F612" s="106" t="n"/>
      <c r="G612" s="108" t="inlineStr">
        <is>
          <t>CHARLES POWELL</t>
        </is>
      </c>
      <c r="H612" s="105" t="inlineStr">
        <is>
          <t>138-3</t>
        </is>
      </c>
      <c r="I612" s="111">
        <f>COUNTIF(Tower_3!G:G,'All Associates'!A612)+COUNTIF(Tower_4!G:G,'All Associates'!A612)+COUNTIF(Tower_5!G:G,'All Associates'!A612)+COUNTIF(Tower_6!G:G,'All Associates'!A612)+COUNTIF(Riviera_3!G:G,'All Associates'!A612)+COUNTIF(Riviera_4!G:G,'All Associates'!A612)+COUNTIF(Riviera_5!G:G,'All Associates'!A612)</f>
        <v/>
      </c>
      <c r="J612" s="112">
        <f>IF(I612=0,"Not Allocated",IF(I612=1,"Allocated","Duplicate"))</f>
        <v/>
      </c>
    </row>
    <row r="613" hidden="1" ht="15" customHeight="1">
      <c r="A613" s="104" t="n">
        <v>2036</v>
      </c>
      <c r="B613" s="105" t="inlineStr">
        <is>
          <t>DANIEL BARTLETT</t>
        </is>
      </c>
      <c r="C613" s="106" t="n"/>
      <c r="D613" s="105" t="inlineStr">
        <is>
          <t>DONALD WHITE</t>
        </is>
      </c>
      <c r="E613" s="106" t="n"/>
      <c r="F613" s="106" t="n"/>
      <c r="G613" s="105" t="inlineStr">
        <is>
          <t>MARISSA CROSS</t>
        </is>
      </c>
      <c r="H613" s="105" t="inlineStr">
        <is>
          <t>220-2</t>
        </is>
      </c>
      <c r="I613" s="111">
        <f>COUNTIF(Tower_3!G:G,'All Associates'!A613)+COUNTIF(Tower_4!G:G,'All Associates'!A613)+COUNTIF(Tower_5!G:G,'All Associates'!A613)+COUNTIF(Tower_6!G:G,'All Associates'!A613)+COUNTIF(Riviera_3!G:G,'All Associates'!A613)+COUNTIF(Riviera_4!G:G,'All Associates'!A613)+COUNTIF(Riviera_5!G:G,'All Associates'!A613)</f>
        <v/>
      </c>
      <c r="J613" s="112">
        <f>IF(I613=0,"Not Allocated",IF(I613=1,"Allocated","Duplicate"))</f>
        <v/>
      </c>
    </row>
    <row r="614" hidden="1" ht="15" customHeight="1">
      <c r="A614" s="104" t="n">
        <v>2037</v>
      </c>
      <c r="B614" s="105" t="inlineStr">
        <is>
          <t>STEPHANIE JOHNSON</t>
        </is>
      </c>
      <c r="C614" s="106" t="n"/>
      <c r="D614" s="105" t="inlineStr">
        <is>
          <t>JENNIFER WATSON</t>
        </is>
      </c>
      <c r="E614" s="106" t="n"/>
      <c r="F614" s="106" t="n"/>
      <c r="G614" s="107" t="inlineStr">
        <is>
          <t>KIMBERLY CLARK</t>
        </is>
      </c>
      <c r="H614" s="105" t="inlineStr">
        <is>
          <t>156-2</t>
        </is>
      </c>
      <c r="I614" s="111">
        <f>COUNTIF(Tower_3!G:G,'All Associates'!A614)+COUNTIF(Tower_4!G:G,'All Associates'!A614)+COUNTIF(Tower_5!G:G,'All Associates'!A614)+COUNTIF(Tower_6!G:G,'All Associates'!A614)+COUNTIF(Riviera_3!G:G,'All Associates'!A614)+COUNTIF(Riviera_4!G:G,'All Associates'!A614)+COUNTIF(Riviera_5!G:G,'All Associates'!A614)</f>
        <v/>
      </c>
      <c r="J614" s="112">
        <f>IF(I614=0,"Not Allocated",IF(I614=1,"Allocated","Duplicate"))</f>
        <v/>
      </c>
    </row>
    <row r="615" hidden="1" ht="15" customHeight="1">
      <c r="A615" s="104" t="n">
        <v>2038</v>
      </c>
      <c r="B615" s="105" t="inlineStr">
        <is>
          <t>JENNIFER WILEY</t>
        </is>
      </c>
      <c r="C615" s="106" t="n"/>
      <c r="D615" s="105" t="inlineStr">
        <is>
          <t>CHRISTOPHER HUFFMAN</t>
        </is>
      </c>
      <c r="E615" s="106" t="n"/>
      <c r="F615" s="106" t="n"/>
      <c r="G615" s="108" t="inlineStr">
        <is>
          <t>CHARLES POWELL</t>
        </is>
      </c>
      <c r="H615" s="105" t="inlineStr">
        <is>
          <t>138-3</t>
        </is>
      </c>
      <c r="I615" s="111">
        <f>COUNTIF(Tower_3!G:G,'All Associates'!A615)+COUNTIF(Tower_4!G:G,'All Associates'!A615)+COUNTIF(Tower_5!G:G,'All Associates'!A615)+COUNTIF(Tower_6!G:G,'All Associates'!A615)+COUNTIF(Riviera_3!G:G,'All Associates'!A615)+COUNTIF(Riviera_4!G:G,'All Associates'!A615)+COUNTIF(Riviera_5!G:G,'All Associates'!A615)</f>
        <v/>
      </c>
      <c r="J615" s="112">
        <f>IF(I615=0,"Not Allocated",IF(I615=1,"Allocated","Duplicate"))</f>
        <v/>
      </c>
    </row>
    <row r="616" hidden="1" ht="15" customHeight="1">
      <c r="A616" s="104" t="n">
        <v>2039</v>
      </c>
      <c r="B616" s="105" t="inlineStr">
        <is>
          <t>BRIDGET PEREZ</t>
        </is>
      </c>
      <c r="C616" s="106" t="n"/>
      <c r="D616" s="105" t="inlineStr">
        <is>
          <t>BETH TUCKER</t>
        </is>
      </c>
      <c r="E616" s="106" t="n"/>
      <c r="F616" s="106" t="n"/>
      <c r="G616" s="107" t="inlineStr">
        <is>
          <t>KIMBERLY CLARK</t>
        </is>
      </c>
      <c r="H616" s="105" t="inlineStr">
        <is>
          <t>156-2</t>
        </is>
      </c>
      <c r="I616" s="111">
        <f>COUNTIF(Tower_3!G:G,'All Associates'!A616)+COUNTIF(Tower_4!G:G,'All Associates'!A616)+COUNTIF(Tower_5!G:G,'All Associates'!A616)+COUNTIF(Tower_6!G:G,'All Associates'!A616)+COUNTIF(Riviera_3!G:G,'All Associates'!A616)+COUNTIF(Riviera_4!G:G,'All Associates'!A616)+COUNTIF(Riviera_5!G:G,'All Associates'!A616)</f>
        <v/>
      </c>
      <c r="J616" s="112">
        <f>IF(I616=0,"Not Allocated",IF(I616=1,"Allocated","Duplicate"))</f>
        <v/>
      </c>
    </row>
    <row r="617" hidden="1" ht="15" customHeight="1">
      <c r="A617" s="104" t="n">
        <v>2040</v>
      </c>
      <c r="B617" s="105" t="inlineStr">
        <is>
          <t>DAVID DELGADO</t>
        </is>
      </c>
      <c r="C617" s="106" t="n"/>
      <c r="D617" s="105" t="inlineStr">
        <is>
          <t>GARRETT PARKER</t>
        </is>
      </c>
      <c r="E617" s="106" t="n"/>
      <c r="F617" s="106" t="n"/>
      <c r="G617" s="105" t="inlineStr">
        <is>
          <t>PHILLIP TRAVIS</t>
        </is>
      </c>
      <c r="H617" s="105" t="inlineStr">
        <is>
          <t>156-1</t>
        </is>
      </c>
      <c r="I617" s="111">
        <f>COUNTIF(Tower_3!G:G,'All Associates'!A617)+COUNTIF(Tower_4!G:G,'All Associates'!A617)+COUNTIF(Tower_5!G:G,'All Associates'!A617)+COUNTIF(Tower_6!G:G,'All Associates'!A617)+COUNTIF(Riviera_3!G:G,'All Associates'!A617)+COUNTIF(Riviera_4!G:G,'All Associates'!A617)+COUNTIF(Riviera_5!G:G,'All Associates'!A617)</f>
        <v/>
      </c>
      <c r="J617" s="112">
        <f>IF(I617=0,"Not Allocated",IF(I617=1,"Allocated","Duplicate"))</f>
        <v/>
      </c>
    </row>
    <row r="618" hidden="1" ht="15" customHeight="1">
      <c r="A618" s="104" t="n">
        <v>2041</v>
      </c>
      <c r="B618" s="105" t="inlineStr">
        <is>
          <t>TRACEY BELL</t>
        </is>
      </c>
      <c r="C618" s="106" t="n"/>
      <c r="D618" s="105" t="inlineStr">
        <is>
          <t>MICHAEL ROSALES</t>
        </is>
      </c>
      <c r="E618" s="106" t="n"/>
      <c r="F618" s="106" t="n"/>
      <c r="G618" s="107" t="inlineStr">
        <is>
          <t>KIMBERLY CLARK</t>
        </is>
      </c>
      <c r="H618" s="105" t="inlineStr">
        <is>
          <t>156-2</t>
        </is>
      </c>
      <c r="I618" s="111">
        <f>COUNTIF(Tower_3!G:G,'All Associates'!A618)+COUNTIF(Tower_4!G:G,'All Associates'!A618)+COUNTIF(Tower_5!G:G,'All Associates'!A618)+COUNTIF(Tower_6!G:G,'All Associates'!A618)+COUNTIF(Riviera_3!G:G,'All Associates'!A618)+COUNTIF(Riviera_4!G:G,'All Associates'!A618)+COUNTIF(Riviera_5!G:G,'All Associates'!A618)</f>
        <v/>
      </c>
      <c r="J618" s="112">
        <f>IF(I618=0,"Not Allocated",IF(I618=1,"Allocated","Duplicate"))</f>
        <v/>
      </c>
    </row>
    <row r="619" hidden="1" ht="15" customHeight="1">
      <c r="A619" s="104" t="n">
        <v>2042</v>
      </c>
      <c r="B619" s="105" t="inlineStr">
        <is>
          <t>NICOLE MCCOY</t>
        </is>
      </c>
      <c r="C619" s="106" t="n"/>
      <c r="D619" s="105" t="inlineStr">
        <is>
          <t>SUSAN RAY</t>
        </is>
      </c>
      <c r="E619" s="106" t="n"/>
      <c r="F619" s="106" t="n"/>
      <c r="G619" s="105" t="inlineStr">
        <is>
          <t>ALEXANDER MILLER</t>
        </is>
      </c>
      <c r="H619" s="105" t="inlineStr">
        <is>
          <t>196-1</t>
        </is>
      </c>
      <c r="I619" s="111">
        <f>COUNTIF(Tower_3!G:G,'All Associates'!A619)+COUNTIF(Tower_4!G:G,'All Associates'!A619)+COUNTIF(Tower_5!G:G,'All Associates'!A619)+COUNTIF(Tower_6!G:G,'All Associates'!A619)+COUNTIF(Riviera_3!G:G,'All Associates'!A619)+COUNTIF(Riviera_4!G:G,'All Associates'!A619)+COUNTIF(Riviera_5!G:G,'All Associates'!A619)</f>
        <v/>
      </c>
      <c r="J619" s="112">
        <f>IF(I619=0,"Not Allocated",IF(I619=1,"Allocated","Duplicate"))</f>
        <v/>
      </c>
    </row>
    <row r="620" hidden="1" ht="15" customHeight="1">
      <c r="A620" s="104" t="n">
        <v>2043</v>
      </c>
      <c r="B620" s="105" t="inlineStr">
        <is>
          <t>MICHELLE MITCHELL</t>
        </is>
      </c>
      <c r="C620" s="106" t="n"/>
      <c r="D620" s="105" t="inlineStr">
        <is>
          <t>SUSAN RAY</t>
        </is>
      </c>
      <c r="E620" s="106" t="n"/>
      <c r="F620" s="106" t="n"/>
      <c r="G620" s="105" t="inlineStr">
        <is>
          <t>ALEXANDER MILLER</t>
        </is>
      </c>
      <c r="H620" s="105" t="inlineStr">
        <is>
          <t>196-1</t>
        </is>
      </c>
      <c r="I620" s="111">
        <f>COUNTIF(Tower_3!G:G,'All Associates'!A620)+COUNTIF(Tower_4!G:G,'All Associates'!A620)+COUNTIF(Tower_5!G:G,'All Associates'!A620)+COUNTIF(Tower_6!G:G,'All Associates'!A620)+COUNTIF(Riviera_3!G:G,'All Associates'!A620)+COUNTIF(Riviera_4!G:G,'All Associates'!A620)+COUNTIF(Riviera_5!G:G,'All Associates'!A620)</f>
        <v/>
      </c>
      <c r="J620" s="112">
        <f>IF(I620=0,"Not Allocated",IF(I620=1,"Allocated","Duplicate"))</f>
        <v/>
      </c>
    </row>
    <row r="621" hidden="1" ht="15" customHeight="1">
      <c r="A621" s="104" t="n">
        <v>2044</v>
      </c>
      <c r="B621" s="105" t="inlineStr">
        <is>
          <t>SARA HESS</t>
        </is>
      </c>
      <c r="C621" s="106" t="n"/>
      <c r="D621" s="105" t="inlineStr">
        <is>
          <t>KATHRYN ABBOTT</t>
        </is>
      </c>
      <c r="E621" s="106" t="n"/>
      <c r="F621" s="106" t="n"/>
      <c r="G621" s="105" t="inlineStr">
        <is>
          <t>ALEXANDER MILLER</t>
        </is>
      </c>
      <c r="H621" s="105" t="inlineStr">
        <is>
          <t>135-1</t>
        </is>
      </c>
      <c r="I621" s="111">
        <f>COUNTIF(Tower_3!G:G,'All Associates'!A621)+COUNTIF(Tower_4!G:G,'All Associates'!A621)+COUNTIF(Tower_5!G:G,'All Associates'!A621)+COUNTIF(Tower_6!G:G,'All Associates'!A621)+COUNTIF(Riviera_3!G:G,'All Associates'!A621)+COUNTIF(Riviera_4!G:G,'All Associates'!A621)+COUNTIF(Riviera_5!G:G,'All Associates'!A621)</f>
        <v/>
      </c>
      <c r="J621" s="112">
        <f>IF(I621=0,"Not Allocated",IF(I621=1,"Allocated","Duplicate"))</f>
        <v/>
      </c>
    </row>
    <row r="622" hidden="1" ht="15" customHeight="1">
      <c r="A622" s="104" t="n">
        <v>2045</v>
      </c>
      <c r="B622" s="105" t="inlineStr">
        <is>
          <t>CATHERINE DAVIS</t>
        </is>
      </c>
      <c r="C622" s="106" t="n"/>
      <c r="D622" s="105" t="inlineStr">
        <is>
          <t>CHRISTINE WALTON DDS</t>
        </is>
      </c>
      <c r="E622" s="106" t="n"/>
      <c r="F622" s="106" t="n"/>
      <c r="G622" s="105" t="inlineStr">
        <is>
          <t>PHILLIP TRAVIS</t>
        </is>
      </c>
      <c r="H622" s="105" t="inlineStr">
        <is>
          <t>156-1</t>
        </is>
      </c>
      <c r="I622" s="111">
        <f>COUNTIF(Tower_3!G:G,'All Associates'!A622)+COUNTIF(Tower_4!G:G,'All Associates'!A622)+COUNTIF(Tower_5!G:G,'All Associates'!A622)+COUNTIF(Tower_6!G:G,'All Associates'!A622)+COUNTIF(Riviera_3!G:G,'All Associates'!A622)+COUNTIF(Riviera_4!G:G,'All Associates'!A622)+COUNTIF(Riviera_5!G:G,'All Associates'!A622)</f>
        <v/>
      </c>
      <c r="J622" s="112">
        <f>IF(I622=0,"Not Allocated",IF(I622=1,"Allocated","Duplicate"))</f>
        <v/>
      </c>
    </row>
    <row r="623" hidden="1" ht="15" customHeight="1">
      <c r="A623" s="104" t="n">
        <v>2046</v>
      </c>
      <c r="B623" s="105" t="inlineStr">
        <is>
          <t>RYAN GUTIERREZ</t>
        </is>
      </c>
      <c r="C623" s="106" t="n"/>
      <c r="D623" s="105" t="inlineStr">
        <is>
          <t>JOHN SCOTT DDS</t>
        </is>
      </c>
      <c r="E623" s="106" t="n"/>
      <c r="F623" s="106" t="n"/>
      <c r="G623" s="105" t="inlineStr">
        <is>
          <t>PHILLIP TRAVIS</t>
        </is>
      </c>
      <c r="H623" s="105" t="inlineStr">
        <is>
          <t>156-1</t>
        </is>
      </c>
      <c r="I623" s="111">
        <f>COUNTIF(Tower_3!G:G,'All Associates'!A623)+COUNTIF(Tower_4!G:G,'All Associates'!A623)+COUNTIF(Tower_5!G:G,'All Associates'!A623)+COUNTIF(Tower_6!G:G,'All Associates'!A623)+COUNTIF(Riviera_3!G:G,'All Associates'!A623)+COUNTIF(Riviera_4!G:G,'All Associates'!A623)+COUNTIF(Riviera_5!G:G,'All Associates'!A623)</f>
        <v/>
      </c>
      <c r="J623" s="112">
        <f>IF(I623=0,"Not Allocated",IF(I623=1,"Allocated","Duplicate"))</f>
        <v/>
      </c>
    </row>
    <row r="624" hidden="1" ht="15" customHeight="1">
      <c r="A624" s="104" t="n">
        <v>2047</v>
      </c>
      <c r="B624" s="105" t="inlineStr">
        <is>
          <t>ALLISON HOWARD</t>
        </is>
      </c>
      <c r="C624" s="106" t="n"/>
      <c r="D624" s="105" t="inlineStr">
        <is>
          <t>DEBRA OWEN</t>
        </is>
      </c>
      <c r="E624" s="106" t="n"/>
      <c r="F624" s="106" t="n"/>
      <c r="G624" s="105" t="inlineStr">
        <is>
          <t>HEATHER SOLIS</t>
        </is>
      </c>
      <c r="H624" s="105" t="inlineStr">
        <is>
          <t>138-1</t>
        </is>
      </c>
      <c r="I624" s="111">
        <f>COUNTIF(Tower_3!G:G,'All Associates'!A624)+COUNTIF(Tower_4!G:G,'All Associates'!A624)+COUNTIF(Tower_5!G:G,'All Associates'!A624)+COUNTIF(Tower_6!G:G,'All Associates'!A624)+COUNTIF(Riviera_3!G:G,'All Associates'!A624)+COUNTIF(Riviera_4!G:G,'All Associates'!A624)+COUNTIF(Riviera_5!G:G,'All Associates'!A624)</f>
        <v/>
      </c>
      <c r="J624" s="112">
        <f>IF(I624=0,"Not Allocated",IF(I624=1,"Allocated","Duplicate"))</f>
        <v/>
      </c>
    </row>
    <row r="625" hidden="1" ht="15" customHeight="1">
      <c r="A625" s="104" t="n">
        <v>2048</v>
      </c>
      <c r="B625" s="105" t="inlineStr">
        <is>
          <t>CHRISTOPHER SNYDER</t>
        </is>
      </c>
      <c r="C625" s="106" t="n"/>
      <c r="D625" s="105" t="inlineStr">
        <is>
          <t>LESLIE DIAZ</t>
        </is>
      </c>
      <c r="E625" s="106" t="n"/>
      <c r="F625" s="106" t="n"/>
      <c r="G625" s="105" t="inlineStr">
        <is>
          <t>HEATHER SOLIS</t>
        </is>
      </c>
      <c r="H625" s="105" t="inlineStr">
        <is>
          <t>138-1</t>
        </is>
      </c>
      <c r="I625" s="111">
        <f>COUNTIF(Tower_3!G:G,'All Associates'!A625)+COUNTIF(Tower_4!G:G,'All Associates'!A625)+COUNTIF(Tower_5!G:G,'All Associates'!A625)+COUNTIF(Tower_6!G:G,'All Associates'!A625)+COUNTIF(Riviera_3!G:G,'All Associates'!A625)+COUNTIF(Riviera_4!G:G,'All Associates'!A625)+COUNTIF(Riviera_5!G:G,'All Associates'!A625)</f>
        <v/>
      </c>
      <c r="J625" s="112">
        <f>IF(I625=0,"Not Allocated",IF(I625=1,"Allocated","Duplicate"))</f>
        <v/>
      </c>
    </row>
    <row r="626" hidden="1" ht="15" customHeight="1">
      <c r="A626" s="104" t="n">
        <v>2049</v>
      </c>
      <c r="B626" s="105" t="inlineStr">
        <is>
          <t>EDWIN RAY</t>
        </is>
      </c>
      <c r="C626" s="106" t="n"/>
      <c r="D626" s="105" t="inlineStr">
        <is>
          <t>LESLIE DIAZ</t>
        </is>
      </c>
      <c r="E626" s="106" t="n"/>
      <c r="F626" s="106" t="n"/>
      <c r="G626" s="105" t="inlineStr">
        <is>
          <t>HEATHER SOLIS</t>
        </is>
      </c>
      <c r="H626" s="105" t="inlineStr">
        <is>
          <t>138-1</t>
        </is>
      </c>
      <c r="I626" s="111">
        <f>COUNTIF(Tower_3!G:G,'All Associates'!A626)+COUNTIF(Tower_4!G:G,'All Associates'!A626)+COUNTIF(Tower_5!G:G,'All Associates'!A626)+COUNTIF(Tower_6!G:G,'All Associates'!A626)+COUNTIF(Riviera_3!G:G,'All Associates'!A626)+COUNTIF(Riviera_4!G:G,'All Associates'!A626)+COUNTIF(Riviera_5!G:G,'All Associates'!A626)</f>
        <v/>
      </c>
      <c r="J626" s="112">
        <f>IF(I626=0,"Not Allocated",IF(I626=1,"Allocated","Duplicate"))</f>
        <v/>
      </c>
    </row>
    <row r="627" hidden="1" ht="15" customHeight="1">
      <c r="A627" s="104" t="n">
        <v>2050</v>
      </c>
      <c r="B627" s="105" t="inlineStr">
        <is>
          <t>CAROL LEWIS</t>
        </is>
      </c>
      <c r="C627" s="106" t="n"/>
      <c r="D627" s="105" t="inlineStr">
        <is>
          <t>LISA KIM</t>
        </is>
      </c>
      <c r="E627" s="106" t="n"/>
      <c r="F627" s="106" t="n"/>
      <c r="G627" s="105" t="inlineStr">
        <is>
          <t>KENNETH CONRAD</t>
        </is>
      </c>
      <c r="H627" s="105" t="inlineStr">
        <is>
          <t>127-1</t>
        </is>
      </c>
      <c r="I627" s="111">
        <f>COUNTIF(Tower_3!G:G,'All Associates'!A627)+COUNTIF(Tower_4!G:G,'All Associates'!A627)+COUNTIF(Tower_5!G:G,'All Associates'!A627)+COUNTIF(Tower_6!G:G,'All Associates'!A627)+COUNTIF(Riviera_3!G:G,'All Associates'!A627)+COUNTIF(Riviera_4!G:G,'All Associates'!A627)+COUNTIF(Riviera_5!G:G,'All Associates'!A627)</f>
        <v/>
      </c>
      <c r="J627" s="112">
        <f>IF(I627=0,"Not Allocated",IF(I627=1,"Allocated","Duplicate"))</f>
        <v/>
      </c>
    </row>
    <row r="628" hidden="1" ht="15" customHeight="1">
      <c r="A628" s="104" t="n">
        <v>2051</v>
      </c>
      <c r="B628" s="105" t="inlineStr">
        <is>
          <t>PATRICIA JENKINS</t>
        </is>
      </c>
      <c r="C628" s="106" t="n"/>
      <c r="D628" s="105" t="inlineStr">
        <is>
          <t>AMBER TURNER</t>
        </is>
      </c>
      <c r="E628" s="106" t="n"/>
      <c r="F628" s="106" t="n"/>
      <c r="G628" s="105" t="inlineStr">
        <is>
          <t>KENNETH CONRAD</t>
        </is>
      </c>
      <c r="H628" s="105" t="inlineStr">
        <is>
          <t>127-1</t>
        </is>
      </c>
      <c r="I628" s="111">
        <f>COUNTIF(Tower_3!G:G,'All Associates'!A628)+COUNTIF(Tower_4!G:G,'All Associates'!A628)+COUNTIF(Tower_5!G:G,'All Associates'!A628)+COUNTIF(Tower_6!G:G,'All Associates'!A628)+COUNTIF(Riviera_3!G:G,'All Associates'!A628)+COUNTIF(Riviera_4!G:G,'All Associates'!A628)+COUNTIF(Riviera_5!G:G,'All Associates'!A628)</f>
        <v/>
      </c>
      <c r="J628" s="112">
        <f>IF(I628=0,"Not Allocated",IF(I628=1,"Allocated","Duplicate"))</f>
        <v/>
      </c>
    </row>
    <row r="629" hidden="1" ht="15" customHeight="1">
      <c r="A629" s="104" t="n">
        <v>2052</v>
      </c>
      <c r="B629" s="105" t="inlineStr">
        <is>
          <t>JENNIFER HOLLOWAY</t>
        </is>
      </c>
      <c r="C629" s="106" t="n"/>
      <c r="D629" s="105" t="inlineStr">
        <is>
          <t>JEFFERY MOYER</t>
        </is>
      </c>
      <c r="E629" s="106" t="n"/>
      <c r="F629" s="106" t="n"/>
      <c r="G629" s="105" t="inlineStr">
        <is>
          <t>KENNETH CONRAD</t>
        </is>
      </c>
      <c r="H629" s="105" t="inlineStr">
        <is>
          <t>133-1</t>
        </is>
      </c>
      <c r="I629" s="111">
        <f>COUNTIF(Tower_3!G:G,'All Associates'!A629)+COUNTIF(Tower_4!G:G,'All Associates'!A629)+COUNTIF(Tower_5!G:G,'All Associates'!A629)+COUNTIF(Tower_6!G:G,'All Associates'!A629)+COUNTIF(Riviera_3!G:G,'All Associates'!A629)+COUNTIF(Riviera_4!G:G,'All Associates'!A629)+COUNTIF(Riviera_5!G:G,'All Associates'!A629)</f>
        <v/>
      </c>
      <c r="J629" s="112">
        <f>IF(I629=0,"Not Allocated",IF(I629=1,"Allocated","Duplicate"))</f>
        <v/>
      </c>
    </row>
    <row r="630" hidden="1" ht="15" customHeight="1">
      <c r="A630" s="104" t="n">
        <v>2053</v>
      </c>
      <c r="B630" s="105" t="inlineStr">
        <is>
          <t>NATHANIEL COHEN</t>
        </is>
      </c>
      <c r="C630" s="106" t="n"/>
      <c r="D630" s="105" t="inlineStr">
        <is>
          <t>KATHERINE DELGADO</t>
        </is>
      </c>
      <c r="E630" s="106" t="n"/>
      <c r="F630" s="106" t="n"/>
      <c r="G630" s="105" t="inlineStr">
        <is>
          <t>KENNETH CONRAD</t>
        </is>
      </c>
      <c r="H630" s="105" t="inlineStr">
        <is>
          <t>127-1</t>
        </is>
      </c>
      <c r="I630" s="111">
        <f>COUNTIF(Tower_3!G:G,'All Associates'!A630)+COUNTIF(Tower_4!G:G,'All Associates'!A630)+COUNTIF(Tower_5!G:G,'All Associates'!A630)+COUNTIF(Tower_6!G:G,'All Associates'!A630)+COUNTIF(Riviera_3!G:G,'All Associates'!A630)+COUNTIF(Riviera_4!G:G,'All Associates'!A630)+COUNTIF(Riviera_5!G:G,'All Associates'!A630)</f>
        <v/>
      </c>
      <c r="J630" s="112">
        <f>IF(I630=0,"Not Allocated",IF(I630=1,"Allocated","Duplicate"))</f>
        <v/>
      </c>
    </row>
    <row r="631" hidden="1" ht="15" customHeight="1">
      <c r="A631" s="104" t="n">
        <v>2054</v>
      </c>
      <c r="B631" s="105" t="inlineStr">
        <is>
          <t>KEVIN MORGAN</t>
        </is>
      </c>
      <c r="C631" s="106" t="n"/>
      <c r="D631" s="105" t="inlineStr">
        <is>
          <t>KENNETH DOUGHERTY</t>
        </is>
      </c>
      <c r="E631" s="106" t="n"/>
      <c r="F631" s="106" t="n"/>
      <c r="G631" s="105" t="inlineStr">
        <is>
          <t>KENNETH CONRAD</t>
        </is>
      </c>
      <c r="H631" s="105" t="inlineStr">
        <is>
          <t>133-1</t>
        </is>
      </c>
      <c r="I631" s="111">
        <f>COUNTIF(Tower_3!G:G,'All Associates'!A631)+COUNTIF(Tower_4!G:G,'All Associates'!A631)+COUNTIF(Tower_5!G:G,'All Associates'!A631)+COUNTIF(Tower_6!G:G,'All Associates'!A631)+COUNTIF(Riviera_3!G:G,'All Associates'!A631)+COUNTIF(Riviera_4!G:G,'All Associates'!A631)+COUNTIF(Riviera_5!G:G,'All Associates'!A631)</f>
        <v/>
      </c>
      <c r="J631" s="112">
        <f>IF(I631=0,"Not Allocated",IF(I631=1,"Allocated","Duplicate"))</f>
        <v/>
      </c>
    </row>
    <row r="632" hidden="1" ht="15" customHeight="1">
      <c r="A632" s="104" t="n">
        <v>2055</v>
      </c>
      <c r="B632" s="105" t="inlineStr">
        <is>
          <t>NOAH KING</t>
        </is>
      </c>
      <c r="C632" s="106" t="n"/>
      <c r="D632" s="105" t="inlineStr">
        <is>
          <t>JULIE SANCHEZ</t>
        </is>
      </c>
      <c r="E632" s="106" t="n"/>
      <c r="F632" s="106" t="n"/>
      <c r="G632" s="105" t="inlineStr">
        <is>
          <t>KENNETH CONRAD</t>
        </is>
      </c>
      <c r="H632" s="105" t="inlineStr">
        <is>
          <t>127-1</t>
        </is>
      </c>
      <c r="I632" s="111">
        <f>COUNTIF(Tower_3!G:G,'All Associates'!A632)+COUNTIF(Tower_4!G:G,'All Associates'!A632)+COUNTIF(Tower_5!G:G,'All Associates'!A632)+COUNTIF(Tower_6!G:G,'All Associates'!A632)+COUNTIF(Riviera_3!G:G,'All Associates'!A632)+COUNTIF(Riviera_4!G:G,'All Associates'!A632)+COUNTIF(Riviera_5!G:G,'All Associates'!A632)</f>
        <v/>
      </c>
      <c r="J632" s="112">
        <f>IF(I632=0,"Not Allocated",IF(I632=1,"Allocated","Duplicate"))</f>
        <v/>
      </c>
    </row>
    <row r="633" hidden="1" ht="15" customHeight="1">
      <c r="A633" s="104" t="n">
        <v>2056</v>
      </c>
      <c r="B633" s="105" t="inlineStr">
        <is>
          <t>MONICA COLLINS</t>
        </is>
      </c>
      <c r="C633" s="106" t="n"/>
      <c r="D633" s="107" t="inlineStr">
        <is>
          <t>SUMMER BARRETT</t>
        </is>
      </c>
      <c r="E633" s="106" t="n"/>
      <c r="F633" s="106" t="n"/>
      <c r="G633" s="105" t="inlineStr">
        <is>
          <t>ALEXANDER MILLER</t>
        </is>
      </c>
      <c r="H633" s="105" t="inlineStr">
        <is>
          <t>135-1</t>
        </is>
      </c>
      <c r="I633" s="111">
        <f>COUNTIF(Tower_3!G:G,'All Associates'!A633)+COUNTIF(Tower_4!G:G,'All Associates'!A633)+COUNTIF(Tower_5!G:G,'All Associates'!A633)+COUNTIF(Tower_6!G:G,'All Associates'!A633)+COUNTIF(Riviera_3!G:G,'All Associates'!A633)+COUNTIF(Riviera_4!G:G,'All Associates'!A633)+COUNTIF(Riviera_5!G:G,'All Associates'!A633)</f>
        <v/>
      </c>
      <c r="J633" s="112">
        <f>IF(I633=0,"Not Allocated",IF(I633=1,"Allocated","Duplicate"))</f>
        <v/>
      </c>
    </row>
    <row r="634" hidden="1" ht="15" customHeight="1">
      <c r="A634" s="104" t="n">
        <v>2057</v>
      </c>
      <c r="B634" s="105" t="inlineStr">
        <is>
          <t>JAMES WHITE</t>
        </is>
      </c>
      <c r="C634" s="106" t="n"/>
      <c r="D634" s="105" t="inlineStr">
        <is>
          <t>LINDA DONOVAN</t>
        </is>
      </c>
      <c r="E634" s="106" t="n"/>
      <c r="F634" s="106" t="n"/>
      <c r="G634" s="105" t="inlineStr">
        <is>
          <t>HEATHER SOLIS</t>
        </is>
      </c>
      <c r="H634" s="105" t="inlineStr">
        <is>
          <t>138-2</t>
        </is>
      </c>
      <c r="I634" s="111">
        <f>COUNTIF(Tower_3!G:G,'All Associates'!A634)+COUNTIF(Tower_4!G:G,'All Associates'!A634)+COUNTIF(Tower_5!G:G,'All Associates'!A634)+COUNTIF(Tower_6!G:G,'All Associates'!A634)+COUNTIF(Riviera_3!G:G,'All Associates'!A634)+COUNTIF(Riviera_4!G:G,'All Associates'!A634)+COUNTIF(Riviera_5!G:G,'All Associates'!A634)</f>
        <v/>
      </c>
      <c r="J634" s="112">
        <f>IF(I634=0,"Not Allocated",IF(I634=1,"Allocated","Duplicate"))</f>
        <v/>
      </c>
    </row>
    <row r="635" hidden="1" ht="15" customHeight="1">
      <c r="A635" s="104" t="n">
        <v>2058</v>
      </c>
      <c r="B635" s="105" t="inlineStr">
        <is>
          <t>GARRETT ROBERTS</t>
        </is>
      </c>
      <c r="C635" s="106" t="n"/>
      <c r="D635" s="105" t="inlineStr">
        <is>
          <t>DEBRA OWEN</t>
        </is>
      </c>
      <c r="E635" s="106" t="n"/>
      <c r="F635" s="106" t="n"/>
      <c r="G635" s="105" t="inlineStr">
        <is>
          <t>HEATHER SOLIS</t>
        </is>
      </c>
      <c r="H635" s="105" t="inlineStr">
        <is>
          <t>138-1</t>
        </is>
      </c>
      <c r="I635" s="111">
        <f>COUNTIF(Tower_3!G:G,'All Associates'!A635)+COUNTIF(Tower_4!G:G,'All Associates'!A635)+COUNTIF(Tower_5!G:G,'All Associates'!A635)+COUNTIF(Tower_6!G:G,'All Associates'!A635)+COUNTIF(Riviera_3!G:G,'All Associates'!A635)+COUNTIF(Riviera_4!G:G,'All Associates'!A635)+COUNTIF(Riviera_5!G:G,'All Associates'!A635)</f>
        <v/>
      </c>
      <c r="J635" s="112">
        <f>IF(I635=0,"Not Allocated",IF(I635=1,"Allocated","Duplicate"))</f>
        <v/>
      </c>
    </row>
    <row r="636" hidden="1" ht="15" customHeight="1">
      <c r="A636" s="104" t="n">
        <v>2059</v>
      </c>
      <c r="B636" s="105" t="inlineStr">
        <is>
          <t>TREVOR HARRIS</t>
        </is>
      </c>
      <c r="C636" s="106" t="n"/>
      <c r="D636" s="105" t="inlineStr">
        <is>
          <t>BETH TUCKER</t>
        </is>
      </c>
      <c r="E636" s="106" t="n"/>
      <c r="F636" s="106" t="n"/>
      <c r="G636" s="107" t="inlineStr">
        <is>
          <t>KIMBERLY CLARK</t>
        </is>
      </c>
      <c r="H636" s="105" t="inlineStr">
        <is>
          <t>156-2</t>
        </is>
      </c>
      <c r="I636" s="111">
        <f>COUNTIF(Tower_3!G:G,'All Associates'!A636)+COUNTIF(Tower_4!G:G,'All Associates'!A636)+COUNTIF(Tower_5!G:G,'All Associates'!A636)+COUNTIF(Tower_6!G:G,'All Associates'!A636)+COUNTIF(Riviera_3!G:G,'All Associates'!A636)+COUNTIF(Riviera_4!G:G,'All Associates'!A636)+COUNTIF(Riviera_5!G:G,'All Associates'!A636)</f>
        <v/>
      </c>
      <c r="J636" s="112">
        <f>IF(I636=0,"Not Allocated",IF(I636=1,"Allocated","Duplicate"))</f>
        <v/>
      </c>
    </row>
    <row r="637" hidden="1" ht="15" customHeight="1">
      <c r="A637" s="117" t="n">
        <v>2060</v>
      </c>
      <c r="B637" s="117" t="inlineStr">
        <is>
          <t>FELICIA STRONG</t>
        </is>
      </c>
      <c r="C637" s="117" t="n"/>
      <c r="D637" s="117" t="inlineStr">
        <is>
          <t>LINDA DONOVAN</t>
        </is>
      </c>
      <c r="E637" s="117" t="n"/>
      <c r="F637" s="117" t="n"/>
      <c r="G637" s="117" t="inlineStr">
        <is>
          <t>HEATHER SOLIS</t>
        </is>
      </c>
      <c r="H637" s="117" t="inlineStr">
        <is>
          <t>138-2</t>
        </is>
      </c>
      <c r="I637" s="118">
        <f>COUNTIF(Tower_3!G:G,'All Associates'!A637)+COUNTIF(Tower_4!G:G,'All Associates'!A637)+COUNTIF(Tower_5!G:G,'All Associates'!A637)+COUNTIF(Tower_6!G:G,'All Associates'!A637)+COUNTIF(Riviera_3!G:G,'All Associates'!A637)+COUNTIF(Riviera_4!G:G,'All Associates'!A637)+COUNTIF(Riviera_5!G:G,'All Associates'!A637)</f>
        <v/>
      </c>
      <c r="J637" s="119">
        <f>IF(I637=0,"Not Allocated",IF(I637=1,"Allocated","Duplicate"))</f>
        <v/>
      </c>
    </row>
    <row r="638" hidden="1" ht="15" customHeight="1">
      <c r="A638" s="117" t="n">
        <v>2061</v>
      </c>
      <c r="B638" s="117" t="inlineStr">
        <is>
          <t>ANDREW KELLY</t>
        </is>
      </c>
      <c r="C638" s="117" t="n"/>
      <c r="D638" s="117" t="inlineStr">
        <is>
          <t>JORDAN MARQUEZ</t>
        </is>
      </c>
      <c r="E638" s="117" t="n"/>
      <c r="F638" s="117" t="n"/>
      <c r="G638" s="117" t="inlineStr">
        <is>
          <t>NATHAN HAMILTON</t>
        </is>
      </c>
      <c r="H638" s="117" t="inlineStr">
        <is>
          <t>221-1</t>
        </is>
      </c>
      <c r="I638" s="118">
        <f>COUNTIF(Tower_3!G:G,'All Associates'!A638)+COUNTIF(Tower_4!G:G,'All Associates'!A638)+COUNTIF(Tower_5!G:G,'All Associates'!A638)+COUNTIF(Tower_6!G:G,'All Associates'!A638)+COUNTIF(Riviera_3!G:G,'All Associates'!A638)+COUNTIF(Riviera_4!G:G,'All Associates'!A638)+COUNTIF(Riviera_5!G:G,'All Associates'!A638)</f>
        <v/>
      </c>
      <c r="J638" s="119">
        <f>IF(I638=0,"Not Allocated",IF(I638=1,"Allocated","Duplicate"))</f>
        <v/>
      </c>
    </row>
    <row r="639" ht="15" customHeight="1">
      <c r="A639" s="117" t="n">
        <v>2062</v>
      </c>
      <c r="B639" s="117" t="inlineStr">
        <is>
          <t>STEPHANIE FUENTES</t>
        </is>
      </c>
      <c r="C639" s="117" t="n"/>
      <c r="D639" s="117" t="inlineStr">
        <is>
          <t>STEPHANIE HANSEN</t>
        </is>
      </c>
      <c r="E639" s="117" t="n"/>
      <c r="F639" s="117" t="n"/>
      <c r="G639" s="117" t="inlineStr">
        <is>
          <t>HEATHER SOLIS</t>
        </is>
      </c>
      <c r="H639" s="117" t="inlineStr">
        <is>
          <t>138-1</t>
        </is>
      </c>
      <c r="I639" s="118">
        <f>COUNTIF(Tower_3!G:G,'All Associates'!A639)+COUNTIF(Tower_4!G:G,'All Associates'!A639)+COUNTIF(Tower_5!G:G,'All Associates'!A639)+COUNTIF(Tower_6!G:G,'All Associates'!A639)+COUNTIF(Riviera_3!G:G,'All Associates'!A639)+COUNTIF(Riviera_4!G:G,'All Associates'!A639)+COUNTIF(Riviera_5!G:G,'All Associates'!A639)</f>
        <v/>
      </c>
      <c r="J639" s="119">
        <f>IF(I639=0,"Not Allocated",IF(I639=1,"Allocated","Duplicate"))</f>
        <v/>
      </c>
    </row>
    <row r="640" hidden="1" ht="15" customHeight="1">
      <c r="A640" s="117" t="n">
        <v>2063</v>
      </c>
      <c r="B640" s="117" t="inlineStr">
        <is>
          <t>TINA WARD</t>
        </is>
      </c>
      <c r="C640" s="117" t="n"/>
      <c r="D640" s="117" t="inlineStr">
        <is>
          <t>RHONDA WILLIAMS</t>
        </is>
      </c>
      <c r="E640" s="117" t="n"/>
      <c r="F640" s="117" t="n"/>
      <c r="G640" s="117" t="inlineStr">
        <is>
          <t>CHARLES POWELL</t>
        </is>
      </c>
      <c r="H640" s="117" t="inlineStr">
        <is>
          <t>138-3</t>
        </is>
      </c>
      <c r="I640" s="118">
        <f>COUNTIF(Tower_3!G:G,'All Associates'!A640)+COUNTIF(Tower_4!G:G,'All Associates'!A640)+COUNTIF(Tower_5!G:G,'All Associates'!A640)+COUNTIF(Tower_6!G:G,'All Associates'!A640)+COUNTIF(Riviera_3!G:G,'All Associates'!A640)+COUNTIF(Riviera_4!G:G,'All Associates'!A640)+COUNTIF(Riviera_5!G:G,'All Associates'!A640)</f>
        <v/>
      </c>
      <c r="J640" s="119">
        <f>IF(I640=0,"Not Allocated",IF(I640=1,"Allocated","Duplicate"))</f>
        <v/>
      </c>
    </row>
    <row r="641" ht="15" customHeight="1">
      <c r="A641" s="117" t="n">
        <v>2064</v>
      </c>
      <c r="B641" s="117" t="inlineStr">
        <is>
          <t>JESSICA LEE</t>
        </is>
      </c>
      <c r="C641" s="117" t="n"/>
      <c r="D641" s="117" t="inlineStr">
        <is>
          <t>ROBERT MUELLER</t>
        </is>
      </c>
      <c r="E641" s="117" t="n"/>
      <c r="F641" s="117" t="n"/>
      <c r="G641" s="117" t="inlineStr">
        <is>
          <t>MARISSA CROSS</t>
        </is>
      </c>
      <c r="H641" s="117" t="inlineStr">
        <is>
          <t>220-2</t>
        </is>
      </c>
      <c r="I641" s="118">
        <f>COUNTIF(Tower_3!G:G,'All Associates'!A641)+COUNTIF(Tower_4!G:G,'All Associates'!A641)+COUNTIF(Tower_5!G:G,'All Associates'!A641)+COUNTIF(Tower_6!G:G,'All Associates'!A641)+COUNTIF(Riviera_3!G:G,'All Associates'!A641)+COUNTIF(Riviera_4!G:G,'All Associates'!A641)+COUNTIF(Riviera_5!G:G,'All Associates'!A641)</f>
        <v/>
      </c>
      <c r="J641" s="119">
        <f>IF(I641=0,"Not Allocated",IF(I641=1,"Allocated","Duplicate"))</f>
        <v/>
      </c>
    </row>
    <row r="642" hidden="1" ht="15" customHeight="1">
      <c r="A642" s="117" t="n">
        <v>2065</v>
      </c>
      <c r="B642" s="117" t="inlineStr">
        <is>
          <t>ASHLEY WEAVER</t>
        </is>
      </c>
      <c r="C642" s="117" t="n"/>
      <c r="D642" s="117" t="inlineStr">
        <is>
          <t>JEFFERY MOYER</t>
        </is>
      </c>
      <c r="E642" s="117" t="n"/>
      <c r="F642" s="117" t="n"/>
      <c r="G642" s="117" t="inlineStr">
        <is>
          <t>KENNETH CONRAD</t>
        </is>
      </c>
      <c r="H642" s="117" t="inlineStr">
        <is>
          <t>133-1</t>
        </is>
      </c>
      <c r="I642" s="118">
        <f>COUNTIF(Tower_3!G:G,'All Associates'!A642)+COUNTIF(Tower_4!G:G,'All Associates'!A642)+COUNTIF(Tower_5!G:G,'All Associates'!A642)+COUNTIF(Tower_6!G:G,'All Associates'!A642)+COUNTIF(Riviera_3!G:G,'All Associates'!A642)+COUNTIF(Riviera_4!G:G,'All Associates'!A642)+COUNTIF(Riviera_5!G:G,'All Associates'!A642)</f>
        <v/>
      </c>
      <c r="J642" s="119">
        <f>IF(I642=0,"Not Allocated",IF(I642=1,"Allocated","Duplicate"))</f>
        <v/>
      </c>
    </row>
    <row r="643" ht="15" customHeight="1">
      <c r="A643" s="117" t="n">
        <v>2066</v>
      </c>
      <c r="B643" s="117" t="inlineStr">
        <is>
          <t>ROBIN SNOW</t>
        </is>
      </c>
      <c r="C643" s="117" t="n"/>
      <c r="D643" s="117" t="inlineStr">
        <is>
          <t>KATHERINE ANDREWS</t>
        </is>
      </c>
      <c r="E643" s="117" t="n"/>
      <c r="F643" s="117" t="n"/>
      <c r="G643" s="117" t="inlineStr">
        <is>
          <t>MARISSA CROSS</t>
        </is>
      </c>
      <c r="H643" s="117" t="inlineStr">
        <is>
          <t>220-2</t>
        </is>
      </c>
      <c r="I643" s="118">
        <f>COUNTIF(Tower_3!G:G,'All Associates'!A643)+COUNTIF(Tower_4!G:G,'All Associates'!A643)+COUNTIF(Tower_5!G:G,'All Associates'!A643)+COUNTIF(Tower_6!G:G,'All Associates'!A643)+COUNTIF(Riviera_3!G:G,'All Associates'!A643)+COUNTIF(Riviera_4!G:G,'All Associates'!A643)+COUNTIF(Riviera_5!G:G,'All Associates'!A643)</f>
        <v/>
      </c>
      <c r="J643" s="119">
        <f>IF(I643=0,"Not Allocated",IF(I643=1,"Allocated","Duplicate"))</f>
        <v/>
      </c>
    </row>
    <row r="644" ht="15" customHeight="1">
      <c r="A644" s="97" t="n">
        <v>2067</v>
      </c>
      <c r="B644" s="97" t="inlineStr">
        <is>
          <t>BENJAMIN THOMAS</t>
        </is>
      </c>
      <c r="C644" s="97" t="n"/>
      <c r="D644" s="97" t="inlineStr">
        <is>
          <t>SUSAN RAY</t>
        </is>
      </c>
      <c r="E644" s="97" t="n"/>
      <c r="F644" s="97" t="n"/>
      <c r="G644" s="97" t="inlineStr">
        <is>
          <t>ALEXANDER MILLER</t>
        </is>
      </c>
      <c r="H644" s="97" t="inlineStr">
        <is>
          <t>196-1</t>
        </is>
      </c>
      <c r="I644" s="118">
        <f>COUNTIF(Tower_3!G:G,'All Associates'!A644)+COUNTIF(Tower_4!G:G,'All Associates'!A644)+COUNTIF(Tower_5!G:G,'All Associates'!A644)+COUNTIF(Tower_6!G:G,'All Associates'!A644)+COUNTIF(Riviera_3!G:G,'All Associates'!A644)+COUNTIF(Riviera_4!G:G,'All Associates'!A644)+COUNTIF(Riviera_5!G:G,'All Associates'!A644)</f>
        <v/>
      </c>
      <c r="J644" s="119">
        <f>IF(I644=0,"Not Allocated",IF(I644=1,"Allocated","Duplicate"))</f>
        <v/>
      </c>
    </row>
    <row r="645" ht="15" customHeight="1">
      <c r="A645" s="97" t="n">
        <v>2068</v>
      </c>
      <c r="B645" s="97" t="inlineStr">
        <is>
          <t>JESSICA YOUNG</t>
        </is>
      </c>
      <c r="C645" s="97" t="n"/>
      <c r="D645" s="97" t="inlineStr">
        <is>
          <t>NATHAN HAMILTON</t>
        </is>
      </c>
      <c r="E645" s="97" t="n"/>
      <c r="F645" s="97" t="n"/>
      <c r="G645" s="97" t="inlineStr">
        <is>
          <t>NATHAN HAMILTON</t>
        </is>
      </c>
      <c r="H645" s="97" t="inlineStr">
        <is>
          <t>221-1</t>
        </is>
      </c>
      <c r="I645" s="118">
        <f>COUNTIF(Tower_3!G:G,'All Associates'!A645)+COUNTIF(Tower_4!G:G,'All Associates'!A645)+COUNTIF(Tower_5!G:G,'All Associates'!A645)+COUNTIF(Tower_6!G:G,'All Associates'!A645)+COUNTIF(Riviera_3!G:G,'All Associates'!A645)+COUNTIF(Riviera_4!G:G,'All Associates'!A645)+COUNTIF(Riviera_5!G:G,'All Associates'!A645)</f>
        <v/>
      </c>
      <c r="J645" s="119">
        <f>IF(I645=0,"Not Allocated",IF(I645=1,"Allocated","Duplicate"))</f>
        <v/>
      </c>
    </row>
    <row r="646" ht="15" customHeight="1">
      <c r="A646" s="97" t="n">
        <v>2069</v>
      </c>
      <c r="B646" s="97" t="inlineStr">
        <is>
          <t>RACHEL JAMES</t>
        </is>
      </c>
      <c r="C646" s="97" t="n"/>
      <c r="D646" s="97" t="inlineStr">
        <is>
          <t>STEPHEN GARCIA</t>
        </is>
      </c>
      <c r="E646" s="97" t="n"/>
      <c r="F646" s="97" t="n"/>
      <c r="G646" s="97" t="inlineStr">
        <is>
          <t>NATHAN HAMILTON</t>
        </is>
      </c>
      <c r="H646" s="97" t="inlineStr">
        <is>
          <t>221-1</t>
        </is>
      </c>
      <c r="I646" s="118">
        <f>COUNTIF(Tower_3!G:G,'All Associates'!A646)+COUNTIF(Tower_4!G:G,'All Associates'!A646)+COUNTIF(Tower_5!G:G,'All Associates'!A646)+COUNTIF(Tower_6!G:G,'All Associates'!A646)+COUNTIF(Riviera_3!G:G,'All Associates'!A646)+COUNTIF(Riviera_4!G:G,'All Associates'!A646)+COUNTIF(Riviera_5!G:G,'All Associates'!A646)</f>
        <v/>
      </c>
      <c r="J646" s="119">
        <f>IF(I646=0,"Not Allocated",IF(I646=1,"Allocated","Duplicate"))</f>
        <v/>
      </c>
    </row>
    <row r="647" ht="15" customHeight="1">
      <c r="A647" s="97" t="n">
        <v>2070</v>
      </c>
      <c r="B647" s="97" t="inlineStr">
        <is>
          <t>PATRICK GRAHAM</t>
        </is>
      </c>
      <c r="C647" s="97" t="n"/>
      <c r="D647" s="97" t="inlineStr">
        <is>
          <t>KAREN HENDERSON</t>
        </is>
      </c>
      <c r="E647" s="97" t="n"/>
      <c r="F647" s="97" t="n"/>
      <c r="G647" s="97" t="inlineStr">
        <is>
          <t>KIMBERLY CLARK</t>
        </is>
      </c>
      <c r="H647" s="97" t="inlineStr">
        <is>
          <t>156-2</t>
        </is>
      </c>
      <c r="I647" s="118">
        <f>COUNTIF(Tower_3!G:G,'All Associates'!A647)+COUNTIF(Tower_4!G:G,'All Associates'!A647)+COUNTIF(Tower_5!G:G,'All Associates'!A647)+COUNTIF(Tower_6!G:G,'All Associates'!A647)+COUNTIF(Riviera_3!G:G,'All Associates'!A647)+COUNTIF(Riviera_4!G:G,'All Associates'!A647)+COUNTIF(Riviera_5!G:G,'All Associates'!A647)</f>
        <v/>
      </c>
      <c r="J647" s="119">
        <f>IF(I647=0,"Not Allocated",IF(I647=1,"Allocated","Duplicate"))</f>
        <v/>
      </c>
    </row>
    <row r="648" ht="15" customHeight="1">
      <c r="A648" s="97" t="n">
        <v>2071</v>
      </c>
      <c r="B648" s="97" t="inlineStr">
        <is>
          <t>ALAN WELLS</t>
        </is>
      </c>
      <c r="C648" s="97" t="n"/>
      <c r="D648" s="97" t="inlineStr">
        <is>
          <t>STEPHANIE HANSEN</t>
        </is>
      </c>
      <c r="E648" s="97" t="n"/>
      <c r="F648" s="97" t="n"/>
      <c r="G648" s="97" t="inlineStr">
        <is>
          <t>HEATHER SOLIS</t>
        </is>
      </c>
      <c r="H648" s="97" t="inlineStr">
        <is>
          <t>138-1</t>
        </is>
      </c>
      <c r="I648" s="118">
        <f>COUNTIF(Tower_3!G:G,'All Associates'!A648)+COUNTIF(Tower_4!G:G,'All Associates'!A648)+COUNTIF(Tower_5!G:G,'All Associates'!A648)+COUNTIF(Tower_6!G:G,'All Associates'!A648)+COUNTIF(Riviera_3!G:G,'All Associates'!A648)+COUNTIF(Riviera_4!G:G,'All Associates'!A648)+COUNTIF(Riviera_5!G:G,'All Associates'!A648)</f>
        <v/>
      </c>
      <c r="J648" s="119">
        <f>IF(I648=0,"Not Allocated",IF(I648=1,"Allocated","Duplicate"))</f>
        <v/>
      </c>
    </row>
    <row r="649" ht="15" customHeight="1">
      <c r="A649" s="97" t="n">
        <v>2072</v>
      </c>
      <c r="B649" s="97" t="inlineStr">
        <is>
          <t>RYAN KENNEDY</t>
        </is>
      </c>
      <c r="C649" s="97" t="n"/>
      <c r="D649" s="97" t="inlineStr">
        <is>
          <t>NATHAN HAMILTON</t>
        </is>
      </c>
      <c r="E649" s="97" t="n"/>
      <c r="F649" s="97" t="n"/>
      <c r="G649" s="97" t="inlineStr">
        <is>
          <t>NATHAN HAMILTON</t>
        </is>
      </c>
      <c r="H649" s="97" t="inlineStr">
        <is>
          <t>220-1</t>
        </is>
      </c>
      <c r="I649" s="118">
        <f>COUNTIF(Tower_3!G:G,'All Associates'!A649)+COUNTIF(Tower_4!G:G,'All Associates'!A649)+COUNTIF(Tower_5!G:G,'All Associates'!A649)+COUNTIF(Tower_6!G:G,'All Associates'!A649)+COUNTIF(Riviera_3!G:G,'All Associates'!A649)+COUNTIF(Riviera_4!G:G,'All Associates'!A649)+COUNTIF(Riviera_5!G:G,'All Associates'!A649)</f>
        <v/>
      </c>
      <c r="J649" s="119">
        <f>IF(I649=0,"Not Allocated",IF(I649=1,"Allocated","Duplicate"))</f>
        <v/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axKnM+yB9jVkckY6d4YrKA==" formatRows="1" sort="0" spinCount="100000" hashValue="pzitkYAu2hpgHgKUJV6C3ga++2FB9L2NpxuiwFZHU7cTyPDvn4/67b1eDGETASmdnJ3XvWm7cWtUqSzT/V7zSw=="/>
  <autoFilter ref="A1:J649">
    <filterColumn colId="9" hiddenButton="0" showButton="1">
      <filters>
        <filter val="Not Allocated"/>
      </filters>
    </filterColumn>
  </autoFilter>
  <conditionalFormatting sqref="B1">
    <cfRule type="duplicateValues" priority="11" dxfId="0"/>
  </conditionalFormatting>
  <conditionalFormatting sqref="B1:B575 B650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Matei, Ioana</dc:creator>
  <dcterms:created xsi:type="dcterms:W3CDTF">2025-04-02T06:16:28Z</dcterms:created>
  <dcterms:modified xsi:type="dcterms:W3CDTF">2026-06-25T08:03:49Z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3ff6d80-3782-4df6-bf6c-659f84558040_Enabled" fmtid="{D5CDD505-2E9C-101B-9397-08002B2CF9AE}" pid="2">
    <vt:lpwstr>true</vt:lpwstr>
  </property>
  <property name="MSIP_Label_f3ff6d80-3782-4df6-bf6c-659f84558040_SetDate" fmtid="{D5CDD505-2E9C-101B-9397-08002B2CF9AE}" pid="3">
    <vt:lpwstr>2025-04-02T06:49:44Z</vt:lpwstr>
  </property>
  <property name="MSIP_Label_f3ff6d80-3782-4df6-bf6c-659f84558040_Method" fmtid="{D5CDD505-2E9C-101B-9397-08002B2CF9AE}" pid="4">
    <vt:lpwstr>Standard</vt:lpwstr>
  </property>
  <property name="MSIP_Label_f3ff6d80-3782-4df6-bf6c-659f84558040_Name" fmtid="{D5CDD505-2E9C-101B-9397-08002B2CF9AE}" pid="5">
    <vt:lpwstr>f3ff6d80-3782-4df6-bf6c-659f84558040</vt:lpwstr>
  </property>
  <property name="MSIP_Label_f3ff6d80-3782-4df6-bf6c-659f84558040_SiteId" fmtid="{D5CDD505-2E9C-101B-9397-08002B2CF9AE}" pid="6">
    <vt:lpwstr>38d0d425-ba52-4c0a-a03e-2a65c8e82e2d</vt:lpwstr>
  </property>
  <property name="MSIP_Label_f3ff6d80-3782-4df6-bf6c-659f84558040_ActionId" fmtid="{D5CDD505-2E9C-101B-9397-08002B2CF9AE}" pid="7">
    <vt:lpwstr>f7e99801-4e65-484e-a08c-7fd639f65352</vt:lpwstr>
  </property>
  <property name="MSIP_Label_f3ff6d80-3782-4df6-bf6c-659f84558040_ContentBits" fmtid="{D5CDD505-2E9C-101B-9397-08002B2CF9AE}" pid="8">
    <vt:lpwstr>0</vt:lpwstr>
  </property>
  <property name="MSIP_Label_f3ff6d80-3782-4df6-bf6c-659f84558040_Tag" fmtid="{D5CDD505-2E9C-101B-9397-08002B2CF9AE}" pid="9">
    <vt:lpwstr>10, 3, 0, 1</vt:lpwstr>
  </property>
  <property name="ContentTypeId" fmtid="{D5CDD505-2E9C-101B-9397-08002B2CF9AE}" pid="10">
    <vt:lpwstr>0x010100881F55E84EF7004AA1B14006309D845B</vt:lpwstr>
  </property>
  <property name="MediaServiceImageTags" fmtid="{D5CDD505-2E9C-101B-9397-08002B2CF9AE}" pid="11">
    <vt:lpwstr/>
  </property>
</Properties>
</file>